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aan.bostan\Desktop\"/>
    </mc:Choice>
  </mc:AlternateContent>
  <xr:revisionPtr revIDLastSave="0" documentId="8_{07B1E2E1-46EC-4547-8365-288F5CD670AC}" xr6:coauthVersionLast="47" xr6:coauthVersionMax="47" xr10:uidLastSave="{00000000-0000-0000-0000-000000000000}"/>
  <bookViews>
    <workbookView xWindow="-120" yWindow="-120" windowWidth="20730" windowHeight="11040" tabRatio="631" activeTab="1" xr2:uid="{00000000-000D-0000-FFFF-FFFF00000000}"/>
  </bookViews>
  <sheets>
    <sheet name="Temizlik" sheetId="1" r:id="rId1"/>
    <sheet name="Güvenlik" sheetId="4" r:id="rId2"/>
    <sheet name="Kod ve Ücretleri" sheetId="3" r:id="rId3"/>
    <sheet name="Pozisyon" sheetId="2" r:id="rId4"/>
  </sheets>
  <externalReferences>
    <externalReference r:id="rId5"/>
    <externalReference r:id="rId6"/>
  </externalReferences>
  <definedNames>
    <definedName name="_xlnm._FilterDatabase" localSheetId="0" hidden="1">Temizlik!$A$1:$T$1</definedName>
    <definedName name="_xlnm.Print_Area" localSheetId="0">Temizlik!#REF!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2" i="1"/>
  <c r="N16" i="1"/>
  <c r="N15" i="1"/>
  <c r="N13" i="1"/>
  <c r="N12" i="1"/>
  <c r="N11" i="1"/>
  <c r="N8" i="1"/>
  <c r="N3" i="1"/>
  <c r="E17" i="1"/>
  <c r="E16" i="1"/>
  <c r="E15" i="1"/>
  <c r="E14" i="1"/>
  <c r="E13" i="1"/>
</calcChain>
</file>

<file path=xl/sharedStrings.xml><?xml version="1.0" encoding="utf-8"?>
<sst xmlns="http://schemas.openxmlformats.org/spreadsheetml/2006/main" count="725" uniqueCount="381">
  <si>
    <t>Proje Adı</t>
  </si>
  <si>
    <t>Semt</t>
  </si>
  <si>
    <t>Lokasyon</t>
  </si>
  <si>
    <t>Yaş</t>
  </si>
  <si>
    <t>Cinsiyet</t>
  </si>
  <si>
    <t>Engel</t>
  </si>
  <si>
    <t>Emekli</t>
  </si>
  <si>
    <t>Lojman</t>
  </si>
  <si>
    <t>Vardiya</t>
  </si>
  <si>
    <t>Maaş</t>
  </si>
  <si>
    <t>Yemek</t>
  </si>
  <si>
    <t>Yol</t>
  </si>
  <si>
    <t>Net</t>
  </si>
  <si>
    <t>İzin</t>
  </si>
  <si>
    <t>Konum</t>
  </si>
  <si>
    <t>Ek</t>
  </si>
  <si>
    <t>Yönlendirme</t>
  </si>
  <si>
    <t>Operasyon</t>
  </si>
  <si>
    <t>İK</t>
  </si>
  <si>
    <t>365 AVM</t>
  </si>
  <si>
    <t>Çankaya</t>
  </si>
  <si>
    <t>Birlik Mahallesi</t>
  </si>
  <si>
    <t>Yemekhane</t>
  </si>
  <si>
    <t>Adidas</t>
  </si>
  <si>
    <t>Mamak</t>
  </si>
  <si>
    <t>Nata Vega</t>
  </si>
  <si>
    <t>Akbank</t>
  </si>
  <si>
    <t>Sincan</t>
  </si>
  <si>
    <t>Malıköy</t>
  </si>
  <si>
    <t>Hayır</t>
  </si>
  <si>
    <t>2 gün izin</t>
  </si>
  <si>
    <t>Mustafa Kemal</t>
  </si>
  <si>
    <t>Akfen Holding</t>
  </si>
  <si>
    <t>GOP</t>
  </si>
  <si>
    <t>Ankara Lojistik</t>
  </si>
  <si>
    <t>Kazan</t>
  </si>
  <si>
    <t>Servis</t>
  </si>
  <si>
    <t>1 gün izin</t>
  </si>
  <si>
    <t>Ankara Oto</t>
  </si>
  <si>
    <t>Etimesgut</t>
  </si>
  <si>
    <t>İskitler</t>
  </si>
  <si>
    <t>Ankara Podium AVM</t>
  </si>
  <si>
    <t>Yenimahalle</t>
  </si>
  <si>
    <t>Gimat</t>
  </si>
  <si>
    <t>Asfat</t>
  </si>
  <si>
    <t>Banka Havuz Ankara</t>
  </si>
  <si>
    <t>Merkez</t>
  </si>
  <si>
    <t>Banvit Genel Müdürlük</t>
  </si>
  <si>
    <t>Saray</t>
  </si>
  <si>
    <t>Pursaklar</t>
  </si>
  <si>
    <t>Başkent Emlak Konutları</t>
  </si>
  <si>
    <t>Doğukent Blv.</t>
  </si>
  <si>
    <t>Başkent Enerjisa</t>
  </si>
  <si>
    <t>Kırıkkale</t>
  </si>
  <si>
    <t>Bilkent Center</t>
  </si>
  <si>
    <t xml:space="preserve">Bilkent </t>
  </si>
  <si>
    <t>Bilkent Center Avm</t>
  </si>
  <si>
    <t>Bilkent OHM</t>
  </si>
  <si>
    <t>Bilkent</t>
  </si>
  <si>
    <t>Bilkent Otel</t>
  </si>
  <si>
    <t>Bilkent Şehir Hastanesi</t>
  </si>
  <si>
    <t>Polatlı/gölbaşı</t>
  </si>
  <si>
    <t>Bilkent Üniversitesi</t>
  </si>
  <si>
    <t>BMC</t>
  </si>
  <si>
    <t>Cyberpark</t>
  </si>
  <si>
    <t xml:space="preserve">Bilkent  </t>
  </si>
  <si>
    <t>Ulus/Dikmen/Bilkent</t>
  </si>
  <si>
    <t>Demir Export</t>
  </si>
  <si>
    <t>Kayseri</t>
  </si>
  <si>
    <t>Develi</t>
  </si>
  <si>
    <t>Denizbank</t>
  </si>
  <si>
    <t>Tunalı Hilmi</t>
  </si>
  <si>
    <t>Ceyhan/Adana</t>
  </si>
  <si>
    <t>Atatürk Cad</t>
  </si>
  <si>
    <t>Ostim</t>
  </si>
  <si>
    <t>100.yıl Bulvarı</t>
  </si>
  <si>
    <t>-</t>
  </si>
  <si>
    <t>Turan Güneş</t>
  </si>
  <si>
    <t>Denizbank Call Center</t>
  </si>
  <si>
    <t>Göksu AVM</t>
  </si>
  <si>
    <t>Denizbank İntertech</t>
  </si>
  <si>
    <t>Bilkent Kampüs</t>
  </si>
  <si>
    <t>Doc's Vadi</t>
  </si>
  <si>
    <t>Cezayir Cd</t>
  </si>
  <si>
    <t>Doğadan</t>
  </si>
  <si>
    <t>Akyurt</t>
  </si>
  <si>
    <t>Duru Beytepe</t>
  </si>
  <si>
    <t>Ahlatlıbel</t>
  </si>
  <si>
    <t>Elemor</t>
  </si>
  <si>
    <t>Çayyolu</t>
  </si>
  <si>
    <t>Enerjisa Çağrı Merkezi</t>
  </si>
  <si>
    <t xml:space="preserve">Entek </t>
  </si>
  <si>
    <t>Kızılay</t>
  </si>
  <si>
    <t>Esenboğa Havalimanı</t>
  </si>
  <si>
    <t>Çubuk</t>
  </si>
  <si>
    <t>HOP Scooter</t>
  </si>
  <si>
    <t>İDO Çağrı Merkezi</t>
  </si>
  <si>
    <t>İnavitas</t>
  </si>
  <si>
    <t>Batıkent</t>
  </si>
  <si>
    <t>İş Bankası</t>
  </si>
  <si>
    <t>Kırıkkale Podium</t>
  </si>
  <si>
    <t>Kızılay AVM</t>
  </si>
  <si>
    <t>Temizlik şefi</t>
  </si>
  <si>
    <t>Marubeni</t>
  </si>
  <si>
    <t>Medical Park Hastane</t>
  </si>
  <si>
    <t>Keçiören</t>
  </si>
  <si>
    <t>Keçiören Belediyesi Karşısı</t>
  </si>
  <si>
    <t>Medipol Üniversitesi</t>
  </si>
  <si>
    <t>Ankara Garı</t>
  </si>
  <si>
    <t>Meteksan Matbaa</t>
  </si>
  <si>
    <t>Temelli</t>
  </si>
  <si>
    <t>Meteksan Savunma</t>
  </si>
  <si>
    <t>Odeabank</t>
  </si>
  <si>
    <t>Optimum AVM</t>
  </si>
  <si>
    <t>Eryaman</t>
  </si>
  <si>
    <t>Panora Avm</t>
  </si>
  <si>
    <t>Oran</t>
  </si>
  <si>
    <t>Paraşüt</t>
  </si>
  <si>
    <t>Park Joven</t>
  </si>
  <si>
    <t>Podium İş Merkezi</t>
  </si>
  <si>
    <t>REC Adliye</t>
  </si>
  <si>
    <t>Etlik</t>
  </si>
  <si>
    <t>Tepe İnşaat</t>
  </si>
  <si>
    <t>Tepe Prime</t>
  </si>
  <si>
    <t>Tepe Servis Merkez Ofis</t>
  </si>
  <si>
    <t>Tona</t>
  </si>
  <si>
    <t>Alacaatlı</t>
  </si>
  <si>
    <t>Toyan</t>
  </si>
  <si>
    <t>Öveçler</t>
  </si>
  <si>
    <t>Türk Müteahhitler  Birliği</t>
  </si>
  <si>
    <t>Vega</t>
  </si>
  <si>
    <t>Ümitköy</t>
  </si>
  <si>
    <t>Via Flat</t>
  </si>
  <si>
    <t>Söğütözü</t>
  </si>
  <si>
    <t>Yeni Atabilge Sitesi</t>
  </si>
  <si>
    <t>Marka Mağazalar</t>
  </si>
  <si>
    <t>Proje Kodu</t>
  </si>
  <si>
    <t>Ücret Bilgisi</t>
  </si>
  <si>
    <t>Not</t>
  </si>
  <si>
    <t>Son Tam Kontrol Tarihi: 29.07.2026</t>
  </si>
  <si>
    <t> 365 AVM 0007.TEM.001.006</t>
  </si>
  <si>
    <t xml:space="preserve">Saatlik Brüt Ücret - 147,28 </t>
  </si>
  <si>
    <t>BANKA HAVUZ PROJESİ ANKARA 8000.TEM.02.3-06</t>
  </si>
  <si>
    <t> Saatlik Brüt - 12.857,66</t>
  </si>
  <si>
    <t>ADİDAS SPOR MERK ANKARA NATAVEGA AVM  1376.TEM.06.004</t>
  </si>
  <si>
    <t>Aylık Brüt - 33.030,00</t>
  </si>
  <si>
    <t>ANKARA LOJİSTİK YATIRIMLARI VE AK.TEMİZL 0002.TEM.001.001</t>
  </si>
  <si>
    <t>Aylık Brüt - 36.331,00</t>
  </si>
  <si>
    <t>ANKARA OTOMOTİV ETİMESGUT TEM HİZ 1471.TEM.06.001</t>
  </si>
  <si>
    <t>ANKARA OTOMOTİV İSKİTLER TEM HİZ 1471.TEM.06.002</t>
  </si>
  <si>
    <t>PODIUM AVM (SBS ALIŞVERİŞ İŞ VE YAŞAM ME 1320.TEM.006.01</t>
  </si>
  <si>
    <t>Genel</t>
  </si>
  <si>
    <t>BAŞKENT EMLAK KONUT SİTESİ TEMİZLİK HİZM. 1613.TEM.06.001</t>
  </si>
  <si>
    <t xml:space="preserve">BİLKENT CENTER TEMİZLİK 0007.TEM.001.001
</t>
  </si>
  <si>
    <t>Aylık Brüt - 38.107,00</t>
  </si>
  <si>
    <t>BİLKENT OHM DANIŞMANLIK HİZ A.Ş. TEM. Hİ 1494.TEM.001.001</t>
  </si>
  <si>
    <t xml:space="preserve">Saatlik Brüt Ücret - 147,85 </t>
  </si>
  <si>
    <t>BİLKENT ÜNİVERSİTESİ TEMİZLİK HİZMETİ 0008.TEM.001.004</t>
  </si>
  <si>
    <t> ANKARA TEKNOLOJİLERİ - CYBERPARK PROJESİ ANKARA  0001.TEM.001.001</t>
  </si>
  <si>
    <t>Saatlik Net Ücret - 137,50</t>
  </si>
  <si>
    <t>HAVADAN YÖRESİ TEMİZLİK HİZMETİ 1609.TEM.38.001</t>
  </si>
  <si>
    <t>Aylık Brüt - 38787</t>
  </si>
  <si>
    <t>DENİZBANK ANKARA OSTİM PT. TEM. HİZ. 1611.DNZ.06.003</t>
  </si>
  <si>
    <t xml:space="preserve">Saatlik Brüt Ücret - 146,80 </t>
  </si>
  <si>
    <t>Çift kontrol edilmesi önerilir</t>
  </si>
  <si>
    <t>DENİZBANK ANKARA CALL CENTER TEM. HİZ. 1611.DNZ.06.004</t>
  </si>
  <si>
    <t>Aylık Brüt - 36.333,00</t>
  </si>
  <si>
    <t>DENİZBANK ANKARA INTERTECH TEMİZLİK HİZ. 1611.DNZ.06.008</t>
  </si>
  <si>
    <t> DOCS VADİ ANKARA YÖNETİMİ TEM. HİZ. 1593.TEM.06.001</t>
  </si>
  <si>
    <t>DOĞADAN TEMİZLİK HİZMETİ 0012.TEM.001.002</t>
  </si>
  <si>
    <t xml:space="preserve">Aylık Brüt - 35.105,00 </t>
  </si>
  <si>
    <t>DURU BEYTEPE SİTESİ TEM. HİZ. 1358.TEM.06.001</t>
  </si>
  <si>
    <t>TAV ESENBOĞA İÇ-DIŞ HATLAR TEM. HİZ. 1578.TEM.06.001</t>
  </si>
  <si>
    <t xml:space="preserve">Aylık Brüt - 36.953.52 </t>
  </si>
  <si>
    <t>İNAVİTAS ENERJİ A.Ş. TEMİZLİK HİZMETİ 1586.TEM.06.001</t>
  </si>
  <si>
    <t>KIRIKKALE PODIUM AVM TEMİZLİĞİ_ELİF GRUP 0029.TEM.001.007</t>
  </si>
  <si>
    <t>KIZILAY AVM TEMİZLİK HİZ. 1597.TEM.06.001</t>
  </si>
  <si>
    <t>Aylık Brüt - 35.152,00</t>
  </si>
  <si>
    <t>MARKA MAĞAZACILIK A.Ş. BİLKENT CENTER 1166.TEM.001.001</t>
  </si>
  <si>
    <t xml:space="preserve">Saatlik Brüt - 146,80 </t>
  </si>
  <si>
    <t>MARUBENİ - ANKARA ATM SERVİS TEM. HİZ. 1572.TEM.06.001</t>
  </si>
  <si>
    <t xml:space="preserve">Aylık Brüt - 34.367,00 </t>
  </si>
  <si>
    <t>MP ANKARA BATIKENT TEMİZLİK HİZMETİ     1544.TEM.06.002</t>
  </si>
  <si>
    <t xml:space="preserve">Aylık Brüt - 34.616,00 </t>
  </si>
  <si>
    <t>MP ANKARA KEÇİÖREN TEMİZLİK HİZMETİ 1544.TEM.06.003</t>
  </si>
  <si>
    <t>ANKARA MEDİPOL ÜNİVERSİTESİ TEM. HİZM. 1422.TEM.06.001</t>
  </si>
  <si>
    <t>METEKSAN MATBAA TEMELLİ TEMİZLİK HİZMETİ 1569.TEM.06.001</t>
  </si>
  <si>
    <t xml:space="preserve">Saatlik Brüt - 146,80  </t>
  </si>
  <si>
    <t>METEKSAN MATBAACILIK A.Ş.-TEMİZLİK HİZME 0015.TEM.001.001</t>
  </si>
  <si>
    <t>Mobil Ekip</t>
  </si>
  <si>
    <t xml:space="preserve">Ankara  </t>
  </si>
  <si>
    <t>8000.MOBMRK.PERS MERKEZ MOBIL HİZMET PERSONEL GİDER</t>
  </si>
  <si>
    <t>Aylık Brüt - 38.000,00</t>
  </si>
  <si>
    <t>METEKSAN SAVUNMA A.Ş. 0049.TEM.001.001</t>
  </si>
  <si>
    <t xml:space="preserve">Saatlik Brüt - 169,40 </t>
  </si>
  <si>
    <t>Nazande</t>
  </si>
  <si>
    <t>NAZANDE SİTE TEM. HİZM. 1392.TEM.06.001</t>
  </si>
  <si>
    <t>Aylık Net - 34.000,00</t>
  </si>
  <si>
    <t>ODEABANK A.Ş. G.O.P. ANKARA ŞUBESİ 0117.ODEA.06.002</t>
  </si>
  <si>
    <t>Aylık Brüt - 38.019,00</t>
  </si>
  <si>
    <t>TEPE SERVİS - ANKARA OPTİMUM AVM  1533.TEM.06.001</t>
  </si>
  <si>
    <t>PANORA AVM TEMİZLİK HİZMETİ 1319.TEM.006.01</t>
  </si>
  <si>
    <t>Aylık Brüt - 40.120,00</t>
  </si>
  <si>
    <t>PARAŞÜT YAZILIM ÇAĞRI MERKEZİ HİZ. TS.A.C.P005</t>
  </si>
  <si>
    <t xml:space="preserve">Saatlik Brüt - 173,02 </t>
  </si>
  <si>
    <t>KIRIKKALE PODIUM AVM TEMİZLİĞİ_ELİF GRUP 0029.TEM.001.007</t>
  </si>
  <si>
    <t>REC ANKARA ADALET SARAYI TEMİZLİK 1513.TEM.06.001</t>
  </si>
  <si>
    <t>Aylık Brüt - 37.935,00</t>
  </si>
  <si>
    <t>TEPE PRİME TEMİZLİK 0035.TEM.001.001</t>
  </si>
  <si>
    <t xml:space="preserve">Saatlik Brüt - 150,25 </t>
  </si>
  <si>
    <t>TONA REDİSANCE SİTESİ TOPLU YAPI YÖNETİM 1593.TEM.06.001</t>
  </si>
  <si>
    <t>VEGA TESİS TEMİZLİK HİZMETİ 1539.TEM.06.001</t>
  </si>
  <si>
    <t xml:space="preserve">Aylık Brüt - 44.451,00 </t>
  </si>
  <si>
    <t>VIA FLAT İŞ MERKEZİ TEM. HİZ. 1488.TEM.06.001</t>
  </si>
  <si>
    <t>Aylık Net - 28.077,00</t>
  </si>
  <si>
    <t>ENTEK ANKARA OFİS İKRAM VE TEMİZLİK HİZ. 1487.TEM.06.001</t>
  </si>
  <si>
    <t>Enerjisa Çağrı Merkezi-İngilizce</t>
  </si>
  <si>
    <t>ENERJİSA PERAKENDE ÇAĞRI MERKEZİ HİZMETİ YABANCI DİL / TS.A.C.E002</t>
  </si>
  <si>
    <t>Saatlik Brüt - 179,95</t>
  </si>
  <si>
    <t>HOP TEKNOLOJİ ÇAĞRI MERKEZİ HİZMETİ TS.A.C.H001</t>
  </si>
  <si>
    <t>Saatlik Brüt - 146,80</t>
  </si>
  <si>
    <t>BMC POWER ANKARA TEMİZLİK HİZMETİ 1547.TEM.06.001</t>
  </si>
  <si>
    <t xml:space="preserve"> BANVİT ESENBOĞA ŞUBE TEM. HİZ. 1527.TEM.06.002</t>
  </si>
  <si>
    <t>Aylık Brüt - 40.007,00</t>
  </si>
  <si>
    <t>Bu e-posta ve ilişikteki dosyalar hukuken gizli ve kişisel veri/özel nitelikli kişisel veri içermektedir. Kişisel Verilerle ilgili bilgilendirmeyi www.tepekurumsal.com.tr/kvkk-bilgi adresinden okuyabilirsiniz. E-posta ve içeriği sadece gönderilen gerçek veya tüzel kişinin, gönderim amacıyla bağdaşan sınırlı kullanımı içindir. Muhatap, kendisine gönderilen bilgileri gönderim amacıyla sınırlı ve ölçülü olarak kullanacağını kabul eder. Eğer bu e-postanın muhatabı değilseniz bu e-postanın ve eklerinin kopyalarını herhangi bir şekilde gönderemez, dağıtamaz ve yedekleyemezsiniz. Lütfen bu e-postayı yanlışlıkla aldıysanız, gönderene bu durumu bildiriniz ve e-posta ve ilişiğindeki belgeleri sistemden siliniz. Bu mesaj aksi sözleşme ile belirtilmedikçe herhangi bir işlem teklifi amacını taşımamaktadır. Tepe Destek Hizmetleri ve Eğitim Danışmanlığı A.Ş.'nin hiçbir çalışanı veya temsilcisi, elektronik posta yolu ile, Tepe Destek Hizmetleri ve Eğitim Danışmanlığı A.Ş. adına bağlayıcı bir sözleşme yapmak için yetkilendirilmemiştir. / This message contains confidential information and personal data/sensitive personal data. You can reach and read acknowledgement about data protection on www.tepekurumsal.com.tr/kvkk-bilgi It's intended only limited use of the individual or legal entity to whom they are addressed in accordance with sending purpose. Recipient acknowledges that he/she shall only use the information in accordance with its sending purpose. If you are not the named addressee, you should not disseminate, distribute or copy this email and its attachment. Please notify the sender immediately by email if you have received this email by mistake and delete this email and its attachment from your system. Unless otherwise specified by a mutual agreement, this message is not intended to be a request for a transaction. No employee or agent is authorized to conclude any binding agreement on behalf of Tepe Support Services and Education Consultancy Inc. with any third party by e-mail.</t>
  </si>
  <si>
    <t>Ekip yönetimi tecrübesi, puantaj hazırlama, vardiya takibi yapabilme, düzgün profil ve diksiyona sahip olması ve uyumlu çalışma düzenine sahip olmak.</t>
  </si>
  <si>
    <t>BEZMİALEM HASTANESİ VATAN TEM. HİZ.</t>
  </si>
  <si>
    <t>ÇALIK HOLDİNG TEMİZLİK HİZMETİ</t>
  </si>
  <si>
    <t>HAVAŞ İSTANBUL HAVALİMANI TEM. HİZ.</t>
  </si>
  <si>
    <t>HARİBO</t>
  </si>
  <si>
    <t>KUZEY MARMARA ŞANTİYE TEM. HİZ.</t>
  </si>
  <si>
    <t>KADİR HAS ÜNİ. CİBALİ ANA KAMPÜS TEM. Hİ</t>
  </si>
  <si>
    <t>ENKA OKULLARI İSTİNYE TEMİZLİK HİZ</t>
  </si>
  <si>
    <t>ADİDAS CAPACİTY</t>
  </si>
  <si>
    <t>ADİDAS CEVAHİR</t>
  </si>
  <si>
    <t>GAP TARLABAŞI</t>
  </si>
  <si>
    <t>HALİÇ ÜNİVERSİTESİ TEMİZLİK HİZMETİ</t>
  </si>
  <si>
    <t>PAMİR GIDA (HARİBO) TEMİZLİK HİZM.</t>
  </si>
  <si>
    <t>BİLGİLİ HOLDİNG / AKARETLER BEŞİKTAŞ</t>
  </si>
  <si>
    <t>ARAS KARGO İKİTELLİ</t>
  </si>
  <si>
    <t>METRO PROPERTİES - BEYLİKDÜZÜ AVM TEM Hİ</t>
  </si>
  <si>
    <t>FATİH</t>
  </si>
  <si>
    <t>ZİNCİRLİKUYU</t>
  </si>
  <si>
    <t>ARNAVUTKÖY</t>
  </si>
  <si>
    <t>BAŞAKŞEHİR</t>
  </si>
  <si>
    <t>İSTİNYE</t>
  </si>
  <si>
    <t>BAKIRKÖY</t>
  </si>
  <si>
    <t>ŞİŞLİ</t>
  </si>
  <si>
    <t>BEYOĞLU</t>
  </si>
  <si>
    <t>ALİBEYKÖY</t>
  </si>
  <si>
    <t>BEŞİKTAŞ</t>
  </si>
  <si>
    <t>SARIYER</t>
  </si>
  <si>
    <t>ESENYURT</t>
  </si>
  <si>
    <t>TOPKAPI</t>
  </si>
  <si>
    <t>ESENTEPE</t>
  </si>
  <si>
    <t>TAYAKADIN</t>
  </si>
  <si>
    <t>ÖMERLİ</t>
  </si>
  <si>
    <t>SAZLIDERE</t>
  </si>
  <si>
    <t>CİBALİ</t>
  </si>
  <si>
    <t>ATAKÖY</t>
  </si>
  <si>
    <t>BÜYÜKDERE</t>
  </si>
  <si>
    <t>TARLABAŞI</t>
  </si>
  <si>
    <t>5.LEVENT</t>
  </si>
  <si>
    <t>AKARETLER</t>
  </si>
  <si>
    <t>ÇELEBİ MEHMET CD. (E5 YAN YOL)</t>
  </si>
  <si>
    <t>ERKEK/KADIN</t>
  </si>
  <si>
    <t xml:space="preserve">ERKEK </t>
  </si>
  <si>
    <t>ERKEK</t>
  </si>
  <si>
    <t>KADIN</t>
  </si>
  <si>
    <t>07.30-17.30</t>
  </si>
  <si>
    <t>08.00-.1730</t>
  </si>
  <si>
    <t>08.00-17.00/16.00-24.00</t>
  </si>
  <si>
    <t>08:00 – 17:00 – 16:00-24:00</t>
  </si>
  <si>
    <t>08:00 - 17:00</t>
  </si>
  <si>
    <t>07:00-16:00/
07:00 /17:00</t>
  </si>
  <si>
    <t xml:space="preserve">7:30 - 16:00 / 10:30- 19:00 </t>
  </si>
  <si>
    <t xml:space="preserve">09:45 - 11:45 </t>
  </si>
  <si>
    <t xml:space="preserve"> 07.00 - 17.00</t>
  </si>
  <si>
    <t>08.30 - 17.30</t>
  </si>
  <si>
    <t xml:space="preserve"> 08.00 - 17.00</t>
  </si>
  <si>
    <t>07.00-15.00 / 13.00-21.00</t>
  </si>
  <si>
    <t>08.00/17.30</t>
  </si>
  <si>
    <t>08:00-15:00/
15:00-22:00</t>
  </si>
  <si>
    <t>TEMİZLİK PERSONELİ</t>
  </si>
  <si>
    <t>TEMİZLİK ELEMANI</t>
  </si>
  <si>
    <t>BAHÇIVAN</t>
  </si>
  <si>
    <t xml:space="preserve">TEMİZLİK </t>
  </si>
  <si>
    <t xml:space="preserve">07:00-15:00 </t>
  </si>
  <si>
    <t>MULTİNET</t>
  </si>
  <si>
    <t>3567 MULTİNET</t>
  </si>
  <si>
    <t>1 HAFTA 1 GÜN / 1 HAFTA 2 GÜN İZİN</t>
  </si>
  <si>
    <t>1,5 GÜN İZİN</t>
  </si>
  <si>
    <t>https://maps.app.goo.gl/CZgRy1P3DhyoPcgdA</t>
  </si>
  <si>
    <t>https://maps.app.goo.gl/mj4TSfG93D6BTEAy9</t>
  </si>
  <si>
    <t>https://maps.app.goo.gl/79G2L5odypCAXvgL7</t>
  </si>
  <si>
    <t>https://maps.app.goo.gl/vK5qo5CmWYe3T5vJ7</t>
  </si>
  <si>
    <t>https://maps.app.goo.gl/4JK42pZyfei1nCE68</t>
  </si>
  <si>
    <t>https://maps.app.goo.gl/ZPghgBoMkBQhaE197</t>
  </si>
  <si>
    <t>https://maps.app.goo.gl/FuPhrsieHZiirWiq5</t>
  </si>
  <si>
    <t>https://maps.app.goo.gl/Dvag9fshczzCbeRX6</t>
  </si>
  <si>
    <t>https://maps.app.goo.gl/KZBtDCevT1Qkz9gQA</t>
  </si>
  <si>
    <t>https://maps.app.goo.gl/iFKrhZ9Y8EpaXdQs5</t>
  </si>
  <si>
    <t>https://maps.app.goo.gl/bhtYaRdxkHd9tFvcA</t>
  </si>
  <si>
    <t>https://maps.app.goo.gl/jVZ9KSTYc9HQPna3A</t>
  </si>
  <si>
    <t>https://maps.app.goo.gl/dbJgfE5CCb98xa1F8</t>
  </si>
  <si>
    <t>Projeye yönlendirilecek</t>
  </si>
  <si>
    <t>TELEFON GÖRÜŞMESİ</t>
  </si>
  <si>
    <t>KEMAL ÇALIŞ</t>
  </si>
  <si>
    <t>FERİDUN AKSU</t>
  </si>
  <si>
    <t>RIDVAN ALTUNTAŞ</t>
  </si>
  <si>
    <t>MUSTFA KEREM AS</t>
  </si>
  <si>
    <t>HAŞİM BERKAY ASLIHAK</t>
  </si>
  <si>
    <t>AHMET BERAT İMAMOĞLU</t>
  </si>
  <si>
    <t>ALİ REMZİ ADAR</t>
  </si>
  <si>
    <t>ECE UĞURLU</t>
  </si>
  <si>
    <t>AYBARS ZEKİ</t>
  </si>
  <si>
    <t>PANORA AVM</t>
  </si>
  <si>
    <t>CEPA AVM</t>
  </si>
  <si>
    <t>BİLKENT OTEL</t>
  </si>
  <si>
    <t>ARCA OTO</t>
  </si>
  <si>
    <t>YURTİÇİ LOJİSTİK</t>
  </si>
  <si>
    <t>METEKSAN MATBAA</t>
  </si>
  <si>
    <t>FERNAS</t>
  </si>
  <si>
    <t>MEDİPOL ÜNİ</t>
  </si>
  <si>
    <t>REC ADALET SARAYI</t>
  </si>
  <si>
    <t>LİV KOLEJİ</t>
  </si>
  <si>
    <t>LOJİSTİK ÜSSÜ</t>
  </si>
  <si>
    <t>OR-AN</t>
  </si>
  <si>
    <t>BİLKENT</t>
  </si>
  <si>
    <t>ŞAŞMAZ</t>
  </si>
  <si>
    <t>ÇANKAYA</t>
  </si>
  <si>
    <t>ETİMESGUT</t>
  </si>
  <si>
    <t>KIRIKKALE</t>
  </si>
  <si>
    <t>ALTINDAĞ</t>
  </si>
  <si>
    <t>YENİMAHALLE</t>
  </si>
  <si>
    <t>MUSTAFA KEMAL MAH.</t>
  </si>
  <si>
    <t>KAZAN</t>
  </si>
  <si>
    <t>AKINCI ÜSSÜ</t>
  </si>
  <si>
    <t>ÜNİVERSİTELİLER MAHALLESİ</t>
  </si>
  <si>
    <t>GAYRET MAH</t>
  </si>
  <si>
    <t>ÜMİTKÖY</t>
  </si>
  <si>
    <t>3 LOKASYON- LALAHAN, IŞIKLAR, KILIÇLAR</t>
  </si>
  <si>
    <t>HACI BAYRAM</t>
  </si>
  <si>
    <t>ERKEK-KADIN</t>
  </si>
  <si>
    <t>YOK</t>
  </si>
  <si>
    <t>HAYIR</t>
  </si>
  <si>
    <t>EVET</t>
  </si>
  <si>
    <t>2+1</t>
  </si>
  <si>
    <t>2+2+2</t>
  </si>
  <si>
    <t>8000 TL MULTINET</t>
  </si>
  <si>
    <t>SICAK YEMEK</t>
  </si>
  <si>
    <t>6000 TL MULTINET</t>
  </si>
  <si>
    <t>4000 TL MULTINET</t>
  </si>
  <si>
    <t>MAMAK SERVİS</t>
  </si>
  <si>
    <t>SIHHIYE SERVİS</t>
  </si>
  <si>
    <t>SERVİS</t>
  </si>
  <si>
    <t>ÜCRETE DAHİL</t>
  </si>
  <si>
    <t>KAAN BOSTAN</t>
  </si>
  <si>
    <t>?</t>
  </si>
  <si>
    <t>SERVET BEY 0 505 213 25 07</t>
  </si>
  <si>
    <t>MÜRSEL BEY 0 505 485 70 05</t>
  </si>
  <si>
    <t xml:space="preserve">TURGAY BEY 0 553 873 02 25 </t>
  </si>
  <si>
    <t>GÜLTEKİN BEY 0 535 469 51 06</t>
  </si>
  <si>
    <t>RAMAZAN BEY 0 505 504 95 63</t>
  </si>
  <si>
    <t>BİLAL BEY 0 534 717 49 77</t>
  </si>
  <si>
    <t>AHMET BEY  0 507 761 06 79</t>
  </si>
  <si>
    <t>ÜNAL BEY</t>
  </si>
  <si>
    <t>REC AMİR TEL NO 0 534 591 88 83</t>
  </si>
  <si>
    <t>ŞİRKETTE YÜZ YÜZE</t>
  </si>
  <si>
    <t>FATİH BEY 543 768 08 00</t>
  </si>
  <si>
    <t>https://maps.app.goo.gl/3znLcdTWeSUewCuXA</t>
  </si>
  <si>
    <t>https://maps.app.goo.gl/iMBjszHNaxoA3UyF9</t>
  </si>
  <si>
    <t>https://maps.app.goo.gl/7pfzvcX2NsSaRppH9</t>
  </si>
  <si>
    <t>https://maps.app.goo.gl/kaXk1KqTQ6n34fTNA</t>
  </si>
  <si>
    <t>https://maps.app.goo.gl/HA9X6r9bDsQVuoCZ8</t>
  </si>
  <si>
    <t>https://maps.app.goo.gl/bkXerawLn9iytJ8F7</t>
  </si>
  <si>
    <t>https://maps.app.goo.gl/Kjr5RFiyQsSughr48</t>
  </si>
  <si>
    <t>https://maps.app.goo.gl/A1d7JimW73HF3aou5</t>
  </si>
  <si>
    <t>https://maps.app.goo.gl/XFCqrt4CvXkeb1YFA</t>
  </si>
  <si>
    <t>https://maps.app.goo.gl/HSvEf32TyPjRpF8V6</t>
  </si>
  <si>
    <t>https://maps.app.goo.gl/e71mw5zSgfQkYbjA6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</si>
</sst>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0"/>
      <name val="Calibri"/>
      <family val="2"/>
      <scheme val="minor"/>
    </font>
    <font>
      <sz val="8"/>
      <name val="Calibri"/>
      <family val="2"/>
      <scheme val="minor"/>
    </font>
    <font>
      <u/>
      <sz val="11"/>
      <color theme="10"/>
      <name val="Calibri"/>
      <family val="2"/>
      <scheme val="minor"/>
    </font>
    <font>
      <sz val="11"/>
      <color rgb="FF000000"/>
      <name val="Aptos"/>
      <family val="2"/>
    </font>
    <font>
      <sz val="8"/>
      <color rgb="FF666666"/>
      <name val="Arial"/>
      <family val="2"/>
      <charset val="162"/>
    </font>
    <font>
      <sz val="14"/>
      <color theme="0"/>
      <name val="Calibri"/>
      <family val="2"/>
      <scheme val="minor"/>
    </font>
    <font>
      <sz val="14"/>
      <color theme="1"/>
      <name val="Calibri"/>
      <family val="2"/>
      <scheme val="minor"/>
    </font>
  </fonts>
  <fills count="6">
    <fill>
      <patternFill patternType="none"/>
    </fill>
    <fill>
      <patternFill patternType="gray125"/>
    </fill>
    <fill>
      <patternFill patternType="solid">
        <fgColor theme="1"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1"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3" fillId="0" borderId="0" applyNumberFormat="0" applyFill="0" applyBorder="0" applyAlignment="0" applyProtection="0"/>
    <xf numFmtId="0" fontId="3" fillId="0" borderId="0" applyNumberFormat="0" applyFill="0" applyBorder="0" applyAlignment="0" applyProtection="0"/>
  </cellStyleXfs>
  <cellXfs count="26">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center"/>
    </xf>
    <xf numFmtId="0" fontId="4" fillId="0" borderId="0" xfId="0" applyFont="1" applyAlignment="1">
      <alignment vertical="center"/>
    </xf>
    <xf numFmtId="0" fontId="4" fillId="0" borderId="0" xfId="0" applyFont="1"/>
    <xf numFmtId="0" fontId="5" fillId="0" borderId="0" xfId="0" applyFont="1" applyAlignment="1">
      <alignment horizontal="justify" vertical="center"/>
    </xf>
    <xf numFmtId="0" fontId="0" fillId="4" borderId="1" xfId="0" applyFill="1" applyBorder="1" applyAlignment="1">
      <alignment horizontal="center" vertical="center"/>
    </xf>
    <xf numFmtId="0" fontId="1" fillId="2" borderId="3" xfId="0" applyFont="1" applyFill="1" applyBorder="1" applyAlignment="1">
      <alignment horizontal="center" vertical="center"/>
    </xf>
    <xf numFmtId="0" fontId="0" fillId="4" borderId="0" xfId="0" applyFill="1" applyAlignment="1">
      <alignment horizontal="center" vertical="center"/>
    </xf>
    <xf numFmtId="0" fontId="0" fillId="0" borderId="1" xfId="0" applyBorder="1"/>
    <xf numFmtId="0" fontId="0" fillId="4" borderId="1" xfId="0" applyFill="1" applyBorder="1" applyAlignment="1">
      <alignment horizontal="center"/>
    </xf>
    <xf numFmtId="0" fontId="7" fillId="3" borderId="1"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xf numFmtId="3" fontId="7" fillId="3" borderId="1" xfId="0" applyNumberFormat="1" applyFont="1" applyFill="1" applyBorder="1" applyAlignment="1">
      <alignment horizontal="center" vertical="center"/>
    </xf>
    <xf numFmtId="0" fontId="7" fillId="3" borderId="1" xfId="0" applyFont="1" applyFill="1" applyBorder="1" applyAlignment="1">
      <alignment horizontal="center" vertical="center" wrapText="1"/>
    </xf>
    <xf numFmtId="0" fontId="7" fillId="3" borderId="0" xfId="0" applyFont="1" applyFill="1" applyAlignment="1">
      <alignment horizontal="center"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6" fillId="5" borderId="2" xfId="0" applyFont="1" applyFill="1" applyBorder="1" applyAlignment="1">
      <alignment horizontal="center" vertical="center"/>
    </xf>
    <xf numFmtId="0" fontId="3" fillId="3" borderId="1" xfId="1" applyFill="1" applyBorder="1" applyAlignment="1">
      <alignment horizontal="center" vertical="center"/>
    </xf>
    <xf numFmtId="3" fontId="0" fillId="0" borderId="1" xfId="0" applyNumberFormat="1" applyBorder="1"/>
    <xf numFmtId="0" fontId="1" fillId="2" borderId="0" xfId="0" applyFont="1" applyFill="1" applyAlignment="1">
      <alignment horizontal="center" vertical="center"/>
    </xf>
    <xf numFmtId="0" fontId="0" fillId="0" borderId="0" xfId="0" applyAlignment="1">
      <alignment horizontal="center" vertical="center" wrapText="1"/>
    </xf>
    <xf numFmtId="0" fontId="3" fillId="0" borderId="1" xfId="1" applyBorder="1"/>
  </cellXfs>
  <cellStyles count="3">
    <cellStyle name="Hyperlink" xfId="2" xr:uid="{00000000-000B-0000-0000-000008000000}"/>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aliremzi.adar/Desktop/G&#220;NCEL%20TALEP%20L&#304;STES&#304;.xlsx" TargetMode="External"/><Relationship Id="rId2" Type="http://schemas.openxmlformats.org/officeDocument/2006/relationships/externalLinkPath" Target="file:///C:\Users\aliremzi.adar\Desktop\G&#220;NCEL%20TALEP%20L&#304;STES&#304;.xlsx" TargetMode="External"/><Relationship Id="rId1" Type="http://schemas.openxmlformats.org/officeDocument/2006/relationships/externalLinkPath" Target="/Users/aliremzi.adar/Desktop/G&#220;NCEL%20TALEP%20L&#304;STES&#304;.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liremzi.adar/AppData/Local/Microsoft/Windows/INetCache/Content.Outlook/IKKGPO1V/Servis%20Talep%20Raporu%2004.09.2026.xlsx" TargetMode="External"/><Relationship Id="rId2" Type="http://schemas.openxmlformats.org/officeDocument/2006/relationships/externalLinkPath" Target="file:///C:\Users\aliremzi.adar\AppData\Local\Microsoft\Windows\INetCache\Content.Outlook\IKKGPO1V\Servis%20Talep%20Raporu%2004.09.2026.xlsx" TargetMode="External"/><Relationship Id="rId1" Type="http://schemas.openxmlformats.org/officeDocument/2006/relationships/externalLinkPath" Target="/Users/aliremzi.adar/AppData/Local/Microsoft/Windows/INetCache/Content.Outlook/IKKGPO1V/Servis%20Talep%20Raporu%2004.09.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BB BİO"/>
    </sheetNames>
    <sheetDataSet>
      <sheetData sheetId="0">
        <row r="1">
          <cell r="B1" t="str">
            <v>PROJE ADI</v>
          </cell>
          <cell r="C1" t="str">
            <v>LOKASYON</v>
          </cell>
          <cell r="D1" t="str">
            <v>POZİSYON</v>
          </cell>
          <cell r="E1" t="str">
            <v>AÇIK KADRO SAYISI</v>
          </cell>
          <cell r="F1" t="str">
            <v>CİNSİYET</v>
          </cell>
          <cell r="G1" t="str">
            <v>PROJE ÇALIŞMA ŞARTLARI</v>
          </cell>
        </row>
        <row r="2">
          <cell r="B2" t="str">
            <v>BEZMİALEM HASTANESİ VATAN TEM. HİZ.</v>
          </cell>
          <cell r="C2" t="str">
            <v>FATİH</v>
          </cell>
          <cell r="D2" t="str">
            <v>TEMİZLİK PERSONELİ / EKİP ŞEFİ</v>
          </cell>
          <cell r="E2">
            <v>14</v>
          </cell>
          <cell r="F2" t="str">
            <v>ERKEK/KADIN</v>
          </cell>
          <cell r="G2" t="str">
            <v>HAFTA İÇİ 07.30-17.30 Sabit vardiya ( AYDA 2 GÜN HAFTASONU ÇALIŞMASI)
ASGARİ ÜCRET + SERVİS + YEMEKHANE</v>
          </cell>
        </row>
        <row r="3">
          <cell r="B3" t="str">
            <v>ÇALIK HOLDİNG TEMİZLİK HİZMETİ</v>
          </cell>
          <cell r="C3" t="str">
            <v>ZİNCİRLİKUYU</v>
          </cell>
          <cell r="D3" t="str">
            <v>TEMİZLİK PERSONELİ</v>
          </cell>
          <cell r="E3">
            <v>2</v>
          </cell>
          <cell r="F3" t="str">
            <v xml:space="preserve">ERKEK </v>
          </cell>
          <cell r="G3" t="str">
            <v>Çalışma Şartları: Hafta içi 08.00-17.30 /Cumartesi yarım gün çalışma / Pazar günü izin
29.000 TL MAAŞ + Nakit Yol Ödemesi + Günlük 550 TL Multinet Ödemesi</v>
          </cell>
        </row>
        <row r="4">
          <cell r="B4" t="str">
            <v>HAVAŞ İSTANBUL HAVALİMANI TEM. HİZ.</v>
          </cell>
          <cell r="C4" t="str">
            <v>ARNAVUTKÖY</v>
          </cell>
          <cell r="D4" t="str">
            <v>TEMİZLİK ELEMANI</v>
          </cell>
          <cell r="E4">
            <v>1</v>
          </cell>
          <cell r="F4" t="str">
            <v>ERKEK</v>
          </cell>
          <cell r="G4" t="str">
            <v>2 Vardiya çalışma 08:00 – 17:00 – 16:00-24:00
Haftada 6 gün çalışma
Sıcak yemek + Servis
34.000,00 TL</v>
          </cell>
        </row>
        <row r="5">
          <cell r="B5" t="str">
            <v>HARİBO</v>
          </cell>
          <cell r="C5" t="str">
            <v>ARNAVUTKÖY</v>
          </cell>
          <cell r="D5" t="str">
            <v>TEMİZLİK ELEMANI</v>
          </cell>
          <cell r="E5">
            <v>7</v>
          </cell>
          <cell r="F5" t="str">
            <v>ERKEK</v>
          </cell>
          <cell r="G5" t="str">
            <v>2 Vardiya çalışma 08:00 – 17:00 – 16:00-24:00
Haftada 6 gün çalışma
Sıcak yemek + Servis
34.000,00 TL</v>
          </cell>
        </row>
        <row r="6">
          <cell r="B6" t="str">
            <v>KUZEY MARMARA ŞANTİYE TEM. HİZ.</v>
          </cell>
          <cell r="C6" t="str">
            <v>BAŞAKŞEHİR</v>
          </cell>
          <cell r="D6" t="str">
            <v>TEMİZLİK ELEMANI</v>
          </cell>
          <cell r="E6">
            <v>1</v>
          </cell>
          <cell r="F6" t="str">
            <v>ERKEK</v>
          </cell>
          <cell r="G6" t="str">
            <v>Çalışma Şartları: 30 BİN TL MAAŞ + YOL PARASI (MULTİNET) + YEMEKHANE + SERVİS
Çalışma Saatler: 08:00 - 17:00 / PAZAR İZİN
SERVİS GÜZERGAHI : : GÜVERCİNTEPE - DAYIOĞLU TIP MERKEZİ - BİZİMEVLER7 - MARMARAPARK - ESKİDJİ - ŞAHİNTEPE - İSKİ SAZLIDERE</v>
          </cell>
        </row>
        <row r="7">
          <cell r="B7" t="str">
            <v>KADİR HAS ÜNİ. CİBALİ ANA KAMPÜS TEM. Hİ</v>
          </cell>
          <cell r="C7" t="str">
            <v>FATİH</v>
          </cell>
          <cell r="D7" t="str">
            <v>TEMİZLİK ELEMANI</v>
          </cell>
          <cell r="E7">
            <v>1</v>
          </cell>
          <cell r="F7" t="str">
            <v>ERKEK</v>
          </cell>
          <cell r="G7" t="str">
            <v>30.000 TL NET ÜCRET + 10.200 TL MULTİNET
Çalışma saatleri
• 1 hafta 07:00 /16:00 Ç.tesi yada Pazar 1 gün izin
• 1 Hafta 07:00/17:00 2 gün izin</v>
          </cell>
        </row>
        <row r="8">
          <cell r="B8" t="str">
            <v>ENKA OKULLARI İSTİNYE TEMİZLİK HİZ</v>
          </cell>
          <cell r="C8" t="str">
            <v>İSTİNYE</v>
          </cell>
          <cell r="D8" t="str">
            <v>TEMİZLİK ELEMANI</v>
          </cell>
          <cell r="E8">
            <v>2</v>
          </cell>
          <cell r="F8" t="str">
            <v>ERKEK/KADIN</v>
          </cell>
          <cell r="G8" t="str">
            <v>34.000 TL MAAŞ + 2748 TL YOL ÜCRETİ + PROJEDE YEMEK
ÇALIŞMA SAATLERİ: 07:30 - 16:00 / 10:30- 19:00 DÖNÜŞÜMLÜ VARDİYA
HAFTADA 1 GÜN İZİN (CUMARTESİ VEYA PAZAR )</v>
          </cell>
        </row>
        <row r="9">
          <cell r="B9" t="str">
            <v>ADİDAS CAPACİTY</v>
          </cell>
          <cell r="C9" t="str">
            <v>BAKIRKÖY</v>
          </cell>
          <cell r="D9" t="str">
            <v>TEMİZLİK ELEMANI</v>
          </cell>
          <cell r="E9">
            <v>1</v>
          </cell>
          <cell r="F9" t="str">
            <v>KADIN</v>
          </cell>
          <cell r="G9" t="str">
            <v xml:space="preserve">14.170,00 TL NET MAAŞ  - HAFTADA 6 GÜN ÇALIŞMA 09:45 - 11:45 </v>
          </cell>
        </row>
        <row r="10">
          <cell r="B10" t="str">
            <v>ADİDAS CEVAHİR</v>
          </cell>
          <cell r="C10" t="str">
            <v>ŞİŞLİ</v>
          </cell>
          <cell r="D10" t="str">
            <v>TEMİZLİK ELEMANI</v>
          </cell>
          <cell r="E10">
            <v>1</v>
          </cell>
          <cell r="F10" t="str">
            <v>KADIN</v>
          </cell>
          <cell r="G10" t="str">
            <v xml:space="preserve">14.170,00 TL NET MAAŞ  - HAFTADA 6 GÜN ÇALIŞMA 09:45 - 11:45 </v>
          </cell>
        </row>
        <row r="11">
          <cell r="B11" t="str">
            <v>GAP TARLABAŞI</v>
          </cell>
          <cell r="C11" t="str">
            <v>BEYOĞLU</v>
          </cell>
          <cell r="D11" t="str">
            <v>TEMİZLİK ELEMANI</v>
          </cell>
          <cell r="E11">
            <v>1</v>
          </cell>
          <cell r="F11" t="str">
            <v>ERKEK</v>
          </cell>
          <cell r="G11" t="str">
            <v xml:space="preserve">35.000 BRÜT TL / 2.500 TL YOL ÜCRETİ / GÜNLÜK 550 TL MULTİNET
-ÇALIŞMA SAATLERİ: 07.00 - 17.00 / Haftada 1 gün izin </v>
          </cell>
        </row>
        <row r="12">
          <cell r="B12" t="str">
            <v>HALİÇ ÜNİVERSİTESİ TEMİZLİK HİZMETİ</v>
          </cell>
          <cell r="C12" t="str">
            <v>ALİBEYKÖY</v>
          </cell>
          <cell r="D12" t="str">
            <v>BAHÇIVAN</v>
          </cell>
          <cell r="E12">
            <v>1</v>
          </cell>
          <cell r="F12" t="str">
            <v>ERKEK</v>
          </cell>
          <cell r="G12" t="str">
            <v>Çalışma Saatleri: 08.30 - 17.30 Hafta sonu izin
32.500 TL NET ÜCRET + 3.600 TL ABONMAN YOL ÜCRETİ + PROJEDE YEMEK</v>
          </cell>
        </row>
        <row r="13">
          <cell r="B13" t="str">
            <v>HALİÇ ÜNİVERSİTESİ TEMİZLİK HİZMETİ</v>
          </cell>
          <cell r="C13" t="str">
            <v>ALİBEYKÖY</v>
          </cell>
          <cell r="D13" t="str">
            <v xml:space="preserve">TEMİZLİK </v>
          </cell>
          <cell r="E13">
            <v>2</v>
          </cell>
          <cell r="F13" t="str">
            <v>BAYAN</v>
          </cell>
          <cell r="G13" t="str">
            <v>Çalışma Saatleri: 08.00 - 17.00 / Haftada 1.5 gün izin
39676,62 BRÜT TL + 3.298 NAKİT YOL+ YEMEK PROJEDEN VERİLMEKTEDİR</v>
          </cell>
        </row>
        <row r="14">
          <cell r="B14" t="str">
            <v>PAMİR GIDA (HARİBO) TEMİZLİK HİZM.</v>
          </cell>
          <cell r="C14" t="str">
            <v>ARNAVUTKÖY</v>
          </cell>
          <cell r="D14" t="str">
            <v>TEMİZLİK ELEMANI</v>
          </cell>
          <cell r="E14">
            <v>1</v>
          </cell>
          <cell r="F14" t="str">
            <v>BAY</v>
          </cell>
          <cell r="G14" t="str">
            <v>07.00-15.00/15.00-23.00/23.00-07.00 DÖNÜŞÜMLÜ VARDİYA
34.500 TL MAAŞ - SERVİS - YEMEKHANE</v>
          </cell>
        </row>
        <row r="15">
          <cell r="B15" t="str">
            <v>ÇELEBİ İGA KARGO</v>
          </cell>
          <cell r="C15" t="str">
            <v>ARNAVUTKÖY</v>
          </cell>
          <cell r="D15" t="str">
            <v>TEMİZLİK ŞEFİ</v>
          </cell>
          <cell r="E15">
            <v>1</v>
          </cell>
          <cell r="F15" t="str">
            <v>BAY  / BAYAN</v>
          </cell>
        </row>
        <row r="16">
          <cell r="B16" t="str">
            <v>BİLGİLİ HOLDİNG / AKARETLER BEŞİKTAŞ</v>
          </cell>
          <cell r="C16" t="str">
            <v>BEŞİKTAŞ</v>
          </cell>
          <cell r="D16" t="str">
            <v>TEMİZLİK ELEMANI</v>
          </cell>
          <cell r="E16">
            <v>2</v>
          </cell>
          <cell r="F16" t="str">
            <v>BAY</v>
          </cell>
          <cell r="G16" t="str">
            <v>07.00-15.00 / 13.00-21.00 SABİT VARDİYA ( Hafta içi 1 gün izin)
34.900 TL MAAŞ + 2748 TL NAKİT YOL ÖDEMESİ + 8690 TL MULTİNE</v>
          </cell>
        </row>
        <row r="17">
          <cell r="B17" t="str">
            <v>SSM TEMİZLİK</v>
          </cell>
          <cell r="C17" t="str">
            <v>SARIYER</v>
          </cell>
          <cell r="D17" t="str">
            <v>TEMİZLİK ELEMANI</v>
          </cell>
          <cell r="E17">
            <v>1</v>
          </cell>
          <cell r="F17" t="str">
            <v>BAY</v>
          </cell>
          <cell r="G17" t="str">
            <v>PERSONEL EYLÜL AYI İÇERİSİNDE İSTİDA EDECEK.</v>
          </cell>
        </row>
        <row r="18">
          <cell r="B18" t="str">
            <v>ARAS KARGO İKİTELLİ</v>
          </cell>
          <cell r="C18" t="str">
            <v>BAŞAKŞEHİR</v>
          </cell>
          <cell r="D18" t="str">
            <v>TEMİZLİK ELEMANI</v>
          </cell>
          <cell r="E18">
            <v>1</v>
          </cell>
          <cell r="F18" t="str">
            <v>BAY</v>
          </cell>
          <cell r="G18" t="str">
            <v>Çalışma Şartları: Hafta içi 08.00/17.30 arası çalışma/Cumartesi yarım gün Pazar tatil (Resmi Günler Tatil)
MAAŞ : 35.000 + Nakit Yol + 8300 TL Multinet Ödemesi</v>
          </cell>
        </row>
        <row r="19">
          <cell r="B19" t="str">
            <v>METRO PROPERTİES - BEYLİKDÜZÜ AVM TEM Hİ</v>
          </cell>
          <cell r="C19" t="str">
            <v>ESENYURT</v>
          </cell>
          <cell r="D19" t="str">
            <v>TEMİZLİK ELEMANI</v>
          </cell>
          <cell r="E19">
            <v>1</v>
          </cell>
          <cell r="F19" t="str">
            <v>BAY</v>
          </cell>
          <cell r="G19" t="str">
            <v xml:space="preserve"> ÇİFT VARDİYA 08:00/15:00-15:00/22:00
ASGARİ ÜCRET +13.567 MULTİNET(YOL+YEMEK)</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JE ZİYARETİ-SAHA ÇALIŞMASI"/>
      <sheetName val="MARMARA TALEPLER"/>
      <sheetName val="EGE TALEPLER"/>
      <sheetName val="GENEL MERKEZ TALEPLER"/>
      <sheetName val=" İDARİ KADRO TALEPLER"/>
      <sheetName val="Genel Liste "/>
      <sheetName val="Özet Tablo"/>
      <sheetName val="EGE - SERVİS BANKALAR"/>
      <sheetName val="MARMARA DANIŞMA"/>
      <sheetName val="EGE BANKA"/>
    </sheetNames>
    <sheetDataSet>
      <sheetData sheetId="0" refreshError="1"/>
      <sheetData sheetId="1" refreshError="1"/>
      <sheetData sheetId="2" refreshError="1"/>
      <sheetData sheetId="3" refreshError="1"/>
      <sheetData sheetId="4" refreshError="1"/>
      <sheetData sheetId="5" refreshError="1">
        <row r="1">
          <cell r="G1" t="str">
            <v>Proje Açıklaması</v>
          </cell>
          <cell r="H1" t="str">
            <v>Pozisyon Adı</v>
          </cell>
          <cell r="I1" t="str">
            <v>Cinsiyet</v>
          </cell>
        </row>
        <row r="2">
          <cell r="G2" t="str">
            <v>BEZMİALEM HASTANESİ VATAN TEM. HİZ.</v>
          </cell>
          <cell r="H2" t="str">
            <v>TEMİZLİK PERSONELİ  ve EKİP ŞEFİ</v>
          </cell>
          <cell r="I2" t="str">
            <v>BAY  / BAYAN</v>
          </cell>
        </row>
        <row r="3">
          <cell r="G3" t="str">
            <v>BEZMİALEM ÜNİVERSİTE TEMİZLİK HİZ.</v>
          </cell>
          <cell r="H3" t="str">
            <v>TEMİZLİK ELEMANI</v>
          </cell>
          <cell r="I3" t="str">
            <v>BAY  / BAYAN</v>
          </cell>
        </row>
        <row r="4">
          <cell r="G4" t="str">
            <v>BEZMİALEM EYÜP TEMİZLİK HİZ.</v>
          </cell>
          <cell r="H4" t="str">
            <v>TEMİZLİK ELEMANI</v>
          </cell>
          <cell r="I4" t="str">
            <v>BAYAN</v>
          </cell>
        </row>
        <row r="5">
          <cell r="G5" t="str">
            <v>HALİÇ ÜNİVERSİTESİ TEMİZLİK HİZMETİ</v>
          </cell>
          <cell r="H5" t="str">
            <v xml:space="preserve">TEMİZLİK </v>
          </cell>
          <cell r="I5" t="str">
            <v>BAYAN</v>
          </cell>
        </row>
        <row r="6">
          <cell r="G6" t="str">
            <v>KADİR HAS ÜNİ. CİBALİ ANA KAMPÜS TEM. Hİ</v>
          </cell>
          <cell r="H6" t="str">
            <v>TEMİZLİK ELEMANI</v>
          </cell>
          <cell r="I6" t="str">
            <v xml:space="preserve">BAY </v>
          </cell>
        </row>
        <row r="7">
          <cell r="G7" t="str">
            <v>KUZEY MARMARA ŞANTİYE TEM. HİZ.</v>
          </cell>
          <cell r="H7" t="str">
            <v>TEMİZLİK ELEMANI</v>
          </cell>
          <cell r="I7" t="str">
            <v xml:space="preserve">BAY </v>
          </cell>
        </row>
        <row r="8">
          <cell r="G8" t="str">
            <v>ENKA OKULLARI İSTİNYE TEMİZLİK HİZ</v>
          </cell>
          <cell r="H8" t="str">
            <v xml:space="preserve">TEMİZLİK </v>
          </cell>
          <cell r="I8" t="str">
            <v xml:space="preserve">BAY  </v>
          </cell>
        </row>
        <row r="9">
          <cell r="G9" t="str">
            <v>KALEKALIP İSTANBUL TEM. HİZ.</v>
          </cell>
          <cell r="H9" t="str">
            <v>TEMİZLİK ve BOYA  ELEMANI</v>
          </cell>
          <cell r="I9" t="str">
            <v>BAY</v>
          </cell>
        </row>
        <row r="10">
          <cell r="G10" t="str">
            <v>ÇALIK HOLDİNG TEMİZLİK HİZMETİ</v>
          </cell>
          <cell r="H10" t="str">
            <v>TEMİZLİK ELEMANI</v>
          </cell>
          <cell r="I10" t="str">
            <v>BAY  / BAYAN</v>
          </cell>
        </row>
        <row r="11">
          <cell r="G11" t="str">
            <v>ADİDAS ÇORLU</v>
          </cell>
          <cell r="H11" t="str">
            <v>PART TİME TEMİZLİK PERSONELİ</v>
          </cell>
          <cell r="I11" t="str">
            <v>BAYAN</v>
          </cell>
        </row>
        <row r="12">
          <cell r="G12" t="str">
            <v>ADİDAS CAPACİTY</v>
          </cell>
          <cell r="H12" t="str">
            <v>PART TİME TEMİZLİK PERSONELİ</v>
          </cell>
          <cell r="I12" t="str">
            <v>BAYAN</v>
          </cell>
        </row>
        <row r="13">
          <cell r="G13" t="str">
            <v>PAMİR GIDA (HARİBO) TEMİZLİK HİZM.</v>
          </cell>
          <cell r="H13" t="str">
            <v>TEMİZLİK ELEMANI</v>
          </cell>
          <cell r="I13" t="str">
            <v>BAY</v>
          </cell>
        </row>
        <row r="14">
          <cell r="G14" t="str">
            <v>GAP TARLABAŞI</v>
          </cell>
          <cell r="H14" t="str">
            <v>TEMİZLİK ELEMANI</v>
          </cell>
          <cell r="I14" t="str">
            <v>BAY</v>
          </cell>
        </row>
        <row r="15">
          <cell r="G15" t="str">
            <v>ÇELEBİ İGA KARGO</v>
          </cell>
          <cell r="H15" t="str">
            <v>TEMİZLİK ŞEFİ</v>
          </cell>
          <cell r="I15" t="str">
            <v>BAY  / BAYAN</v>
          </cell>
        </row>
        <row r="16">
          <cell r="G16" t="str">
            <v>HAVAŞ İGA</v>
          </cell>
          <cell r="H16" t="str">
            <v>TEMİZLİK ELEMANI</v>
          </cell>
          <cell r="I16" t="str">
            <v>BAY</v>
          </cell>
        </row>
        <row r="17">
          <cell r="G17" t="str">
            <v>BİLGİLİ HOLDİNG / AKARETLER BEŞİKTAŞ</v>
          </cell>
          <cell r="H17" t="str">
            <v>TEMİZLİK ELEMANI</v>
          </cell>
          <cell r="I17" t="str">
            <v>BAY</v>
          </cell>
        </row>
        <row r="18">
          <cell r="G18" t="str">
            <v>TEKİRA AVM (KLEPİERRE) TEKİRDAĞ TEMİZLİK</v>
          </cell>
          <cell r="H18" t="str">
            <v>TEMİZLİK ELEMANI</v>
          </cell>
          <cell r="I18" t="str">
            <v>BAY/BAYAN</v>
          </cell>
        </row>
        <row r="19">
          <cell r="G19" t="str">
            <v>HARİBO ŞEKERLEME</v>
          </cell>
          <cell r="H19" t="str">
            <v>TEMİZLİK ELEMANI</v>
          </cell>
          <cell r="I19" t="str">
            <v>BAY</v>
          </cell>
        </row>
        <row r="20">
          <cell r="G20" t="str">
            <v>MARTUR SÜNGER İSTANBUL TEMİZLİK HİZMETİ</v>
          </cell>
          <cell r="H20" t="str">
            <v>TEMİZLİK ELEMANI</v>
          </cell>
          <cell r="I20" t="str">
            <v>BAY</v>
          </cell>
        </row>
        <row r="21">
          <cell r="G21" t="str">
            <v>ANPA GROSS MAKYOL SANTRAL</v>
          </cell>
          <cell r="H21" t="str">
            <v>TEMİZLİK ELEMANI</v>
          </cell>
          <cell r="I21" t="str">
            <v>BAY</v>
          </cell>
        </row>
        <row r="22">
          <cell r="G22" t="str">
            <v>SSM TEMİZLİK</v>
          </cell>
          <cell r="H22" t="str">
            <v>TEMİZLİK ELEMANI</v>
          </cell>
          <cell r="I22" t="str">
            <v>BAY</v>
          </cell>
        </row>
        <row r="23">
          <cell r="G23" t="str">
            <v>ARAS KARGO İKİTELLİ</v>
          </cell>
          <cell r="H23" t="str">
            <v>TEMİZLİK ELEMANI</v>
          </cell>
          <cell r="I23" t="str">
            <v>BAY</v>
          </cell>
        </row>
        <row r="24">
          <cell r="G24" t="str">
            <v>HARİBO ŞEKERLEME</v>
          </cell>
          <cell r="H24" t="str">
            <v>BAHÇIVAN</v>
          </cell>
          <cell r="I24" t="str">
            <v>BAY</v>
          </cell>
        </row>
        <row r="25">
          <cell r="G25" t="str">
            <v>METRO PROPERTİES - BEYLİKDÜZÜ AVM TEM Hİ</v>
          </cell>
          <cell r="H25" t="str">
            <v>TEMİZLİK ELEMANI</v>
          </cell>
          <cell r="I25" t="str">
            <v>BAY</v>
          </cell>
        </row>
      </sheetData>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aps.app.goo.gl/Dvag9fshczzCbeRX6" TargetMode="External"/><Relationship Id="rId13" Type="http://schemas.openxmlformats.org/officeDocument/2006/relationships/hyperlink" Target="https://maps.app.goo.gl/bhtYaRdxkHd9tFvcA" TargetMode="External"/><Relationship Id="rId3" Type="http://schemas.openxmlformats.org/officeDocument/2006/relationships/hyperlink" Target="https://maps.app.goo.gl/79G2L5odypCAXvgL7" TargetMode="External"/><Relationship Id="rId7" Type="http://schemas.openxmlformats.org/officeDocument/2006/relationships/hyperlink" Target="https://maps.app.goo.gl/FuPhrsieHZiirWiq5" TargetMode="External"/><Relationship Id="rId12" Type="http://schemas.openxmlformats.org/officeDocument/2006/relationships/hyperlink" Target="https://maps.app.goo.gl/vK5qo5CmWYe3T5vJ7" TargetMode="External"/><Relationship Id="rId2" Type="http://schemas.openxmlformats.org/officeDocument/2006/relationships/hyperlink" Target="https://maps.app.goo.gl/mj4TSfG93D6BTEAy9" TargetMode="External"/><Relationship Id="rId16" Type="http://schemas.openxmlformats.org/officeDocument/2006/relationships/printerSettings" Target="../printerSettings/printerSettings1.bin"/><Relationship Id="rId1" Type="http://schemas.openxmlformats.org/officeDocument/2006/relationships/hyperlink" Target="https://maps.app.goo.gl/CZgRy1P3DhyoPcgdA" TargetMode="External"/><Relationship Id="rId6" Type="http://schemas.openxmlformats.org/officeDocument/2006/relationships/hyperlink" Target="https://maps.app.goo.gl/ZPghgBoMkBQhaE197" TargetMode="External"/><Relationship Id="rId11" Type="http://schemas.openxmlformats.org/officeDocument/2006/relationships/hyperlink" Target="https://maps.app.goo.gl/iFKrhZ9Y8EpaXdQs5" TargetMode="External"/><Relationship Id="rId5" Type="http://schemas.openxmlformats.org/officeDocument/2006/relationships/hyperlink" Target="https://maps.app.goo.gl/4JK42pZyfei1nCE68" TargetMode="External"/><Relationship Id="rId15" Type="http://schemas.openxmlformats.org/officeDocument/2006/relationships/hyperlink" Target="https://maps.app.goo.gl/dbJgfE5CCb98xa1F8" TargetMode="External"/><Relationship Id="rId10" Type="http://schemas.openxmlformats.org/officeDocument/2006/relationships/hyperlink" Target="https://maps.app.goo.gl/iFKrhZ9Y8EpaXdQs5" TargetMode="External"/><Relationship Id="rId4" Type="http://schemas.openxmlformats.org/officeDocument/2006/relationships/hyperlink" Target="https://maps.app.goo.gl/vK5qo5CmWYe3T5vJ7" TargetMode="External"/><Relationship Id="rId9" Type="http://schemas.openxmlformats.org/officeDocument/2006/relationships/hyperlink" Target="https://maps.app.goo.gl/KZBtDCevT1Qkz9gQA" TargetMode="External"/><Relationship Id="rId14" Type="http://schemas.openxmlformats.org/officeDocument/2006/relationships/hyperlink" Target="https://maps.app.goo.gl/jVZ9KSTYc9HQPna3A"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maps.app.goo.gl/A1d7JimW73HF3aou5" TargetMode="External"/><Relationship Id="rId3" Type="http://schemas.openxmlformats.org/officeDocument/2006/relationships/hyperlink" Target="https://maps.app.goo.gl/7pfzvcX2NsSaRppH9" TargetMode="External"/><Relationship Id="rId7" Type="http://schemas.openxmlformats.org/officeDocument/2006/relationships/hyperlink" Target="https://maps.app.goo.gl/Kjr5RFiyQsSughr48" TargetMode="External"/><Relationship Id="rId12" Type="http://schemas.openxmlformats.org/officeDocument/2006/relationships/printerSettings" Target="../printerSettings/printerSettings2.bin"/><Relationship Id="rId2" Type="http://schemas.openxmlformats.org/officeDocument/2006/relationships/hyperlink" Target="https://maps.app.goo.gl/iMBjszHNaxoA3UyF9" TargetMode="External"/><Relationship Id="rId1" Type="http://schemas.openxmlformats.org/officeDocument/2006/relationships/hyperlink" Target="https://maps.app.goo.gl/3znLcdTWeSUewCuXA" TargetMode="External"/><Relationship Id="rId6" Type="http://schemas.openxmlformats.org/officeDocument/2006/relationships/hyperlink" Target="https://maps.app.goo.gl/bkXerawLn9iytJ8F7" TargetMode="External"/><Relationship Id="rId11" Type="http://schemas.openxmlformats.org/officeDocument/2006/relationships/hyperlink" Target="https://maps.app.goo.gl/e71mw5zSgfQkYbjA6" TargetMode="External"/><Relationship Id="rId5" Type="http://schemas.openxmlformats.org/officeDocument/2006/relationships/hyperlink" Target="https://maps.app.goo.gl/HA9X6r9bDsQVuoCZ8" TargetMode="External"/><Relationship Id="rId10" Type="http://schemas.openxmlformats.org/officeDocument/2006/relationships/hyperlink" Target="https://maps.app.goo.gl/HSvEf32TyPjRpF8V6" TargetMode="External"/><Relationship Id="rId4" Type="http://schemas.openxmlformats.org/officeDocument/2006/relationships/hyperlink" Target="https://maps.app.goo.gl/kaXk1KqTQ6n34fTNA" TargetMode="External"/><Relationship Id="rId9" Type="http://schemas.openxmlformats.org/officeDocument/2006/relationships/hyperlink" Target="https://maps.app.goo.gl/XFCqrt4CvXkeb1YF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J17"/>
  <sheetViews>
    <sheetView zoomScale="70" zoomScaleNormal="70" zoomScaleSheetLayoutView="48" workbookViewId="0">
      <pane ySplit="1" topLeftCell="A2" activePane="bottomLeft" state="frozen"/>
      <selection pane="bottomLeft" activeCell="D6" sqref="D6"/>
    </sheetView>
  </sheetViews>
  <sheetFormatPr defaultColWidth="188" defaultRowHeight="18.75" x14ac:dyDescent="0.25"/>
  <cols>
    <col min="1" max="1" width="55.5703125" style="13" bestFit="1" customWidth="1"/>
    <col min="2" max="2" width="17.7109375" style="13" customWidth="1"/>
    <col min="3" max="3" width="30.28515625" style="13" customWidth="1"/>
    <col min="4" max="4" width="10" style="13" customWidth="1"/>
    <col min="5" max="5" width="15" style="13" customWidth="1"/>
    <col min="6" max="6" width="8.5703125" style="13" customWidth="1"/>
    <col min="7" max="7" width="11.140625" style="13" customWidth="1"/>
    <col min="8" max="8" width="7.140625" style="13" customWidth="1"/>
    <col min="9" max="9" width="43.7109375" style="13" customWidth="1"/>
    <col min="10" max="10" width="28.42578125" style="13" customWidth="1"/>
    <col min="11" max="12" width="15.28515625" style="13" customWidth="1"/>
    <col min="13" max="13" width="9.7109375" style="13" customWidth="1"/>
    <col min="14" max="14" width="16.5703125" style="13" customWidth="1"/>
    <col min="15" max="15" width="24" style="13" customWidth="1"/>
    <col min="16" max="16" width="33.140625" style="13" customWidth="1"/>
    <col min="17" max="17" width="94.28515625" style="17" customWidth="1"/>
    <col min="18" max="18" width="80.28515625" style="13" customWidth="1"/>
    <col min="19" max="19" width="28.28515625" style="13" bestFit="1" customWidth="1"/>
    <col min="20" max="20" width="32.42578125" style="12" bestFit="1" customWidth="1"/>
    <col min="21" max="16384" width="188" style="13"/>
  </cols>
  <sheetData>
    <row r="1" spans="1:62" x14ac:dyDescent="0.3">
      <c r="A1" s="18" t="s">
        <v>0</v>
      </c>
      <c r="B1" s="18" t="s">
        <v>1</v>
      </c>
      <c r="C1" s="18" t="s">
        <v>2</v>
      </c>
      <c r="D1" s="18" t="s">
        <v>3</v>
      </c>
      <c r="E1" s="18" t="s">
        <v>4</v>
      </c>
      <c r="F1" s="18" t="s">
        <v>5</v>
      </c>
      <c r="G1" s="18" t="s">
        <v>6</v>
      </c>
      <c r="H1" s="18" t="s">
        <v>7</v>
      </c>
      <c r="I1" s="18" t="s">
        <v>8</v>
      </c>
      <c r="J1" s="18"/>
      <c r="K1" s="18" t="s">
        <v>9</v>
      </c>
      <c r="L1" s="18" t="s">
        <v>10</v>
      </c>
      <c r="M1" s="18" t="s">
        <v>11</v>
      </c>
      <c r="N1" s="18" t="s">
        <v>12</v>
      </c>
      <c r="O1" s="18" t="s">
        <v>13</v>
      </c>
      <c r="P1" s="18" t="s">
        <v>14</v>
      </c>
      <c r="Q1" s="19" t="s">
        <v>15</v>
      </c>
      <c r="R1" s="18" t="s">
        <v>16</v>
      </c>
      <c r="S1" s="20" t="s">
        <v>17</v>
      </c>
      <c r="T1" s="18" t="s">
        <v>18</v>
      </c>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row>
    <row r="2" spans="1:62" ht="37.5" x14ac:dyDescent="0.3">
      <c r="A2" s="12" t="s">
        <v>226</v>
      </c>
      <c r="B2" s="12" t="s">
        <v>241</v>
      </c>
      <c r="C2" s="12" t="s">
        <v>253</v>
      </c>
      <c r="D2" s="12">
        <v>45</v>
      </c>
      <c r="E2" s="12" t="s">
        <v>265</v>
      </c>
      <c r="F2" s="12" t="s">
        <v>29</v>
      </c>
      <c r="G2" s="12"/>
      <c r="H2" s="12"/>
      <c r="I2" s="12" t="s">
        <v>269</v>
      </c>
      <c r="J2" s="12" t="s">
        <v>283</v>
      </c>
      <c r="K2" s="15">
        <v>28000</v>
      </c>
      <c r="L2" s="12" t="s">
        <v>22</v>
      </c>
      <c r="M2" s="12" t="s">
        <v>36</v>
      </c>
      <c r="N2" s="15">
        <v>28000</v>
      </c>
      <c r="O2" s="12" t="s">
        <v>290</v>
      </c>
      <c r="P2" s="21" t="s">
        <v>293</v>
      </c>
      <c r="Q2" s="16" t="str">
        <f>VLOOKUP(A2,'[1]İBB BİO'!$B:$G,6,0)</f>
        <v>HAFTA İÇİ 07.30-17.30 Sabit vardiya ( AYDA 2 GÜN HAFTASONU ÇALIŞMASI)
ASGARİ ÜCRET + SERVİS + YEMEKHANE</v>
      </c>
      <c r="R2" s="12" t="s">
        <v>305</v>
      </c>
      <c r="S2" s="12" t="s">
        <v>307</v>
      </c>
      <c r="T2" s="12" t="s">
        <v>310</v>
      </c>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row>
    <row r="3" spans="1:62" ht="75" x14ac:dyDescent="0.3">
      <c r="A3" s="12" t="s">
        <v>227</v>
      </c>
      <c r="B3" s="12" t="s">
        <v>242</v>
      </c>
      <c r="C3" s="12" t="s">
        <v>254</v>
      </c>
      <c r="D3" s="12">
        <v>45</v>
      </c>
      <c r="E3" s="12" t="s">
        <v>266</v>
      </c>
      <c r="F3" s="12" t="s">
        <v>29</v>
      </c>
      <c r="G3" s="12"/>
      <c r="H3" s="12"/>
      <c r="I3" s="12" t="s">
        <v>270</v>
      </c>
      <c r="J3" s="12" t="s">
        <v>283</v>
      </c>
      <c r="K3" s="15">
        <v>29000</v>
      </c>
      <c r="L3" s="12">
        <v>550</v>
      </c>
      <c r="M3" s="12">
        <v>3628</v>
      </c>
      <c r="N3" s="15">
        <f>SUM(K3,M3)</f>
        <v>32628</v>
      </c>
      <c r="O3" s="12" t="s">
        <v>291</v>
      </c>
      <c r="P3" s="21" t="s">
        <v>292</v>
      </c>
      <c r="Q3" s="16" t="str">
        <f>VLOOKUP(A3,'[1]İBB BİO'!$B:$G,6,0)</f>
        <v>Çalışma Şartları: Hafta içi 08.00-17.30 /Cumartesi yarım gün çalışma / Pazar günü izin
29.000 TL MAAŞ + Nakit Yol Ödemesi + Günlük 550 TL Multinet Ödemesi</v>
      </c>
      <c r="R3" s="12" t="s">
        <v>305</v>
      </c>
      <c r="S3" s="12" t="s">
        <v>308</v>
      </c>
      <c r="T3" s="12" t="s">
        <v>311</v>
      </c>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row>
    <row r="4" spans="1:62" ht="75" x14ac:dyDescent="0.3">
      <c r="A4" s="12" t="s">
        <v>228</v>
      </c>
      <c r="B4" s="12" t="s">
        <v>243</v>
      </c>
      <c r="C4" s="12" t="s">
        <v>255</v>
      </c>
      <c r="D4" s="12">
        <v>50</v>
      </c>
      <c r="E4" s="12" t="s">
        <v>267</v>
      </c>
      <c r="F4" s="12"/>
      <c r="G4" s="12"/>
      <c r="H4" s="12"/>
      <c r="I4" s="12" t="s">
        <v>271</v>
      </c>
      <c r="J4" s="12" t="s">
        <v>284</v>
      </c>
      <c r="K4" s="15">
        <v>34000</v>
      </c>
      <c r="L4" s="12" t="s">
        <v>22</v>
      </c>
      <c r="M4" s="12" t="s">
        <v>36</v>
      </c>
      <c r="N4" s="15">
        <v>34000</v>
      </c>
      <c r="O4" s="12" t="s">
        <v>37</v>
      </c>
      <c r="P4" s="21" t="s">
        <v>294</v>
      </c>
      <c r="Q4" s="16" t="str">
        <f>VLOOKUP(A4,'[1]İBB BİO'!$B:$G,6,0)</f>
        <v>2 Vardiya çalışma 08:00 – 17:00 – 16:00-24:00
Haftada 6 gün çalışma
Sıcak yemek + Servis
34.000,00 TL</v>
      </c>
      <c r="R4" s="12" t="s">
        <v>306</v>
      </c>
      <c r="S4" s="12" t="s">
        <v>308</v>
      </c>
      <c r="T4" s="12" t="s">
        <v>312</v>
      </c>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row>
    <row r="5" spans="1:62" ht="75" x14ac:dyDescent="0.3">
      <c r="A5" s="12" t="s">
        <v>229</v>
      </c>
      <c r="B5" s="12" t="s">
        <v>243</v>
      </c>
      <c r="C5" s="12" t="s">
        <v>256</v>
      </c>
      <c r="D5" s="12">
        <v>50</v>
      </c>
      <c r="E5" s="12" t="s">
        <v>267</v>
      </c>
      <c r="F5" s="12" t="s">
        <v>29</v>
      </c>
      <c r="G5" s="12"/>
      <c r="H5" s="12"/>
      <c r="I5" s="12" t="s">
        <v>272</v>
      </c>
      <c r="J5" s="12" t="s">
        <v>284</v>
      </c>
      <c r="K5" s="15">
        <v>34000</v>
      </c>
      <c r="L5" s="12" t="s">
        <v>22</v>
      </c>
      <c r="M5" s="13" t="s">
        <v>36</v>
      </c>
      <c r="N5" s="15">
        <v>34000</v>
      </c>
      <c r="O5" s="12" t="s">
        <v>37</v>
      </c>
      <c r="P5" s="21" t="s">
        <v>295</v>
      </c>
      <c r="Q5" s="16" t="str">
        <f>VLOOKUP(A5,'[1]İBB BİO'!$B:$G,6,0)</f>
        <v>2 Vardiya çalışma 08:00 – 17:00 – 16:00-24:00
Haftada 6 gün çalışma
Sıcak yemek + Servis
34.000,00 TL</v>
      </c>
      <c r="R5" s="12" t="s">
        <v>306</v>
      </c>
      <c r="S5" s="12" t="s">
        <v>309</v>
      </c>
      <c r="T5" s="12" t="s">
        <v>313</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row>
    <row r="6" spans="1:62" ht="93.75" x14ac:dyDescent="0.3">
      <c r="A6" s="12" t="s">
        <v>230</v>
      </c>
      <c r="B6" s="12" t="s">
        <v>244</v>
      </c>
      <c r="C6" s="12" t="s">
        <v>257</v>
      </c>
      <c r="D6" s="12">
        <v>55</v>
      </c>
      <c r="E6" s="12" t="s">
        <v>267</v>
      </c>
      <c r="F6" s="12" t="s">
        <v>29</v>
      </c>
      <c r="G6" s="12"/>
      <c r="H6" s="12"/>
      <c r="I6" s="12" t="s">
        <v>273</v>
      </c>
      <c r="J6" s="12" t="s">
        <v>284</v>
      </c>
      <c r="K6" s="15">
        <v>30000</v>
      </c>
      <c r="L6" s="12" t="s">
        <v>22</v>
      </c>
      <c r="M6" s="12" t="s">
        <v>36</v>
      </c>
      <c r="N6" s="15">
        <v>30000</v>
      </c>
      <c r="O6" s="12" t="s">
        <v>37</v>
      </c>
      <c r="P6" s="12" t="s">
        <v>76</v>
      </c>
      <c r="Q6" s="16" t="str">
        <f>VLOOKUP(A6,'[1]İBB BİO'!$B:$G,6,0)</f>
        <v>Çalışma Şartları: 30 BİN TL MAAŞ + YOL PARASI (MULTİNET) + YEMEKHANE + SERVİS
Çalışma Saatler: 08:00 - 17:00 / PAZAR İZİN
SERVİS GÜZERGAHI : : GÜVERCİNTEPE - DAYIOĞLU TIP MERKEZİ - BİZİMEVLER7 - MARMARAPARK - ESKİDJİ - ŞAHİNTEPE - İSKİ SAZLIDERE</v>
      </c>
      <c r="R6" s="12" t="s">
        <v>306</v>
      </c>
      <c r="S6" s="12" t="s">
        <v>307</v>
      </c>
      <c r="T6" s="12" t="s">
        <v>312</v>
      </c>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row>
    <row r="7" spans="1:62" ht="75" x14ac:dyDescent="0.3">
      <c r="A7" s="12" t="s">
        <v>231</v>
      </c>
      <c r="B7" s="12" t="s">
        <v>241</v>
      </c>
      <c r="C7" s="12" t="s">
        <v>258</v>
      </c>
      <c r="D7" s="12">
        <v>45</v>
      </c>
      <c r="E7" s="12" t="s">
        <v>267</v>
      </c>
      <c r="F7" s="12" t="s">
        <v>29</v>
      </c>
      <c r="G7" s="12"/>
      <c r="H7" s="12"/>
      <c r="I7" s="12" t="s">
        <v>274</v>
      </c>
      <c r="J7" s="12" t="s">
        <v>284</v>
      </c>
      <c r="K7" s="15">
        <v>30000</v>
      </c>
      <c r="L7" s="12">
        <v>330</v>
      </c>
      <c r="M7" s="12" t="s">
        <v>288</v>
      </c>
      <c r="N7" s="15">
        <v>30000</v>
      </c>
      <c r="O7" s="12" t="s">
        <v>290</v>
      </c>
      <c r="P7" s="21" t="s">
        <v>296</v>
      </c>
      <c r="Q7" s="16" t="str">
        <f>VLOOKUP(A7,'[1]İBB BİO'!$B:$G,6,0)</f>
        <v>30.000 TL NET ÜCRET + 10.200 TL MULTİNET
Çalışma saatleri
• 1 hafta 07:00 /16:00 Ç.tesi yada Pazar 1 gün izin
• 1 Hafta 07:00/17:00 2 gün izin</v>
      </c>
      <c r="R7" s="12" t="s">
        <v>305</v>
      </c>
      <c r="S7" s="12" t="s">
        <v>307</v>
      </c>
      <c r="T7" s="12" t="s">
        <v>311</v>
      </c>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row>
    <row r="8" spans="1:62" ht="56.25" x14ac:dyDescent="0.3">
      <c r="A8" s="12" t="s">
        <v>232</v>
      </c>
      <c r="B8" s="12" t="s">
        <v>251</v>
      </c>
      <c r="C8" s="12" t="s">
        <v>245</v>
      </c>
      <c r="D8" s="12">
        <v>45</v>
      </c>
      <c r="E8" s="12" t="s">
        <v>265</v>
      </c>
      <c r="F8" s="12" t="s">
        <v>29</v>
      </c>
      <c r="G8" s="12"/>
      <c r="H8" s="12"/>
      <c r="I8" s="12" t="s">
        <v>275</v>
      </c>
      <c r="J8" s="12" t="s">
        <v>284</v>
      </c>
      <c r="K8" s="15">
        <v>34000</v>
      </c>
      <c r="L8" s="12" t="s">
        <v>22</v>
      </c>
      <c r="M8" s="12">
        <v>3628</v>
      </c>
      <c r="N8" s="15">
        <f>SUM(K8,M8)</f>
        <v>37628</v>
      </c>
      <c r="O8" s="12" t="s">
        <v>37</v>
      </c>
      <c r="P8" s="21" t="s">
        <v>297</v>
      </c>
      <c r="Q8" s="16" t="str">
        <f>VLOOKUP(A8,'[1]İBB BİO'!$B:$G,6,0)</f>
        <v>34.000 TL MAAŞ + 2748 TL YOL ÜCRETİ + PROJEDE YEMEK
ÇALIŞMA SAATLERİ: 07:30 - 16:00 / 10:30- 19:00 DÖNÜŞÜMLÜ VARDİYA
HAFTADA 1 GÜN İZİN (CUMARTESİ VEYA PAZAR )</v>
      </c>
      <c r="R8" s="12" t="s">
        <v>305</v>
      </c>
      <c r="S8" s="12" t="s">
        <v>307</v>
      </c>
      <c r="T8" s="12" t="s">
        <v>314</v>
      </c>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row>
    <row r="9" spans="1:62" x14ac:dyDescent="0.3">
      <c r="A9" s="12" t="s">
        <v>233</v>
      </c>
      <c r="B9" s="12" t="s">
        <v>246</v>
      </c>
      <c r="C9" s="12" t="s">
        <v>259</v>
      </c>
      <c r="D9" s="12">
        <v>50</v>
      </c>
      <c r="E9" s="12" t="s">
        <v>268</v>
      </c>
      <c r="F9" s="12"/>
      <c r="G9" s="12"/>
      <c r="H9" s="12"/>
      <c r="I9" s="12" t="s">
        <v>276</v>
      </c>
      <c r="J9" s="12" t="s">
        <v>284</v>
      </c>
      <c r="K9" s="15">
        <v>14170</v>
      </c>
      <c r="L9" s="12" t="s">
        <v>76</v>
      </c>
      <c r="M9" s="12" t="s">
        <v>76</v>
      </c>
      <c r="N9" s="15">
        <v>14170</v>
      </c>
      <c r="O9" s="12" t="s">
        <v>37</v>
      </c>
      <c r="P9" s="21" t="s">
        <v>298</v>
      </c>
      <c r="Q9" s="16" t="str">
        <f>VLOOKUP(A9,'[1]İBB BİO'!$B:$G,6,0)</f>
        <v xml:space="preserve">14.170,00 TL NET MAAŞ  - HAFTADA 6 GÜN ÇALIŞMA 09:45 - 11:45 </v>
      </c>
      <c r="R9" s="12" t="s">
        <v>306</v>
      </c>
      <c r="S9" s="12" t="s">
        <v>308</v>
      </c>
      <c r="T9" s="12" t="s">
        <v>315</v>
      </c>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row>
    <row r="10" spans="1:62" x14ac:dyDescent="0.3">
      <c r="A10" s="12" t="s">
        <v>234</v>
      </c>
      <c r="B10" s="12" t="s">
        <v>247</v>
      </c>
      <c r="C10" s="12" t="s">
        <v>260</v>
      </c>
      <c r="D10" s="12">
        <v>50</v>
      </c>
      <c r="E10" s="12" t="s">
        <v>268</v>
      </c>
      <c r="F10" s="12"/>
      <c r="G10" s="12"/>
      <c r="H10" s="12"/>
      <c r="I10" s="12" t="s">
        <v>276</v>
      </c>
      <c r="J10" s="12" t="s">
        <v>284</v>
      </c>
      <c r="K10" s="15">
        <v>14170</v>
      </c>
      <c r="L10" s="12" t="s">
        <v>76</v>
      </c>
      <c r="M10" s="12" t="s">
        <v>76</v>
      </c>
      <c r="N10" s="15">
        <v>14170</v>
      </c>
      <c r="O10" s="12" t="s">
        <v>37</v>
      </c>
      <c r="P10" s="21" t="s">
        <v>299</v>
      </c>
      <c r="Q10" s="16" t="str">
        <f>VLOOKUP(A10,'[1]İBB BİO'!$B:$G,6,0)</f>
        <v xml:space="preserve">14.170,00 TL NET MAAŞ  - HAFTADA 6 GÜN ÇALIŞMA 09:45 - 11:45 </v>
      </c>
      <c r="R10" s="12" t="s">
        <v>306</v>
      </c>
      <c r="S10" s="12" t="s">
        <v>308</v>
      </c>
      <c r="T10" s="12" t="s">
        <v>315</v>
      </c>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row>
    <row r="11" spans="1:62" ht="37.5" x14ac:dyDescent="0.3">
      <c r="A11" s="12" t="s">
        <v>235</v>
      </c>
      <c r="B11" s="12" t="s">
        <v>248</v>
      </c>
      <c r="C11" s="12" t="s">
        <v>261</v>
      </c>
      <c r="D11" s="12">
        <v>45</v>
      </c>
      <c r="E11" s="12" t="s">
        <v>267</v>
      </c>
      <c r="F11" s="12" t="s">
        <v>29</v>
      </c>
      <c r="G11" s="12"/>
      <c r="H11" s="12"/>
      <c r="I11" s="12" t="s">
        <v>277</v>
      </c>
      <c r="J11" s="12" t="s">
        <v>284</v>
      </c>
      <c r="K11" s="15">
        <v>29400</v>
      </c>
      <c r="L11" s="12">
        <v>550</v>
      </c>
      <c r="M11" s="12">
        <v>3628</v>
      </c>
      <c r="N11" s="15">
        <f>SUM(K11,M11)</f>
        <v>33028</v>
      </c>
      <c r="O11" s="12" t="s">
        <v>291</v>
      </c>
      <c r="P11" s="21" t="s">
        <v>300</v>
      </c>
      <c r="Q11" s="16" t="str">
        <f>VLOOKUP(A11,'[1]İBB BİO'!$B:$G,6,0)</f>
        <v xml:space="preserve">35.000 BRÜT TL / 2.500 TL YOL ÜCRETİ / GÜNLÜK 550 TL MULTİNET
-ÇALIŞMA SAATLERİ: 07.00 - 17.00 / Haftada 1 gün izin </v>
      </c>
      <c r="R11" s="12" t="s">
        <v>305</v>
      </c>
      <c r="S11" s="12" t="s">
        <v>308</v>
      </c>
      <c r="T11" s="12" t="s">
        <v>311</v>
      </c>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row>
    <row r="12" spans="1:62" ht="56.25" x14ac:dyDescent="0.3">
      <c r="A12" s="12" t="s">
        <v>236</v>
      </c>
      <c r="B12" s="12" t="s">
        <v>249</v>
      </c>
      <c r="C12" s="12" t="s">
        <v>262</v>
      </c>
      <c r="D12" s="12">
        <v>45</v>
      </c>
      <c r="E12" s="12" t="s">
        <v>267</v>
      </c>
      <c r="F12" s="12" t="s">
        <v>29</v>
      </c>
      <c r="G12" s="12"/>
      <c r="H12" s="12"/>
      <c r="I12" s="12" t="s">
        <v>278</v>
      </c>
      <c r="J12" s="12" t="s">
        <v>285</v>
      </c>
      <c r="K12" s="15">
        <v>32500</v>
      </c>
      <c r="L12" s="12" t="s">
        <v>22</v>
      </c>
      <c r="M12" s="12">
        <v>3628</v>
      </c>
      <c r="N12" s="15">
        <f>SUM(K12,M12)</f>
        <v>36128</v>
      </c>
      <c r="O12" s="12" t="s">
        <v>30</v>
      </c>
      <c r="P12" s="21" t="s">
        <v>301</v>
      </c>
      <c r="Q12" s="16" t="str">
        <f>VLOOKUP(A12,'[1]İBB BİO'!$B:$G,6,0)</f>
        <v>Çalışma Saatleri: 08.30 - 17.30 Hafta sonu izin
32.500 TL NET ÜCRET + 3.600 TL ABONMAN YOL ÜCRETİ + PROJEDE YEMEK</v>
      </c>
      <c r="R12" s="12" t="s">
        <v>305</v>
      </c>
      <c r="S12" s="12" t="s">
        <v>307</v>
      </c>
      <c r="T12" s="12" t="s">
        <v>314</v>
      </c>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row>
    <row r="13" spans="1:62" ht="56.25" x14ac:dyDescent="0.3">
      <c r="A13" s="12" t="s">
        <v>236</v>
      </c>
      <c r="B13" s="12" t="s">
        <v>249</v>
      </c>
      <c r="C13" s="12" t="s">
        <v>262</v>
      </c>
      <c r="D13" s="12">
        <v>45</v>
      </c>
      <c r="E13" s="12" t="str">
        <f>VLOOKUP(A13,'[2]Genel Liste '!$G:$I,3,0)</f>
        <v>BAYAN</v>
      </c>
      <c r="F13" s="12" t="s">
        <v>29</v>
      </c>
      <c r="G13" s="12"/>
      <c r="H13" s="12"/>
      <c r="I13" s="12" t="s">
        <v>279</v>
      </c>
      <c r="J13" s="12" t="s">
        <v>286</v>
      </c>
      <c r="K13" s="15">
        <v>32500</v>
      </c>
      <c r="L13" s="12" t="s">
        <v>22</v>
      </c>
      <c r="M13" s="12">
        <v>3628</v>
      </c>
      <c r="N13" s="15">
        <f>SUM(K13,M13)</f>
        <v>36128</v>
      </c>
      <c r="O13" s="12" t="s">
        <v>30</v>
      </c>
      <c r="P13" s="21" t="s">
        <v>301</v>
      </c>
      <c r="Q13" s="16" t="str">
        <f>VLOOKUP(A13,'[1]İBB BİO'!$B:$G,6,0)</f>
        <v>Çalışma Saatleri: 08.30 - 17.30 Hafta sonu izin
32.500 TL NET ÜCRET + 3.600 TL ABONMAN YOL ÜCRETİ + PROJEDE YEMEK</v>
      </c>
      <c r="R13" s="12" t="s">
        <v>305</v>
      </c>
      <c r="S13" s="12" t="s">
        <v>307</v>
      </c>
      <c r="T13" s="12" t="s">
        <v>314</v>
      </c>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row>
    <row r="14" spans="1:62" ht="56.25" x14ac:dyDescent="0.3">
      <c r="A14" s="12" t="s">
        <v>237</v>
      </c>
      <c r="B14" s="12" t="s">
        <v>243</v>
      </c>
      <c r="C14" s="12" t="s">
        <v>256</v>
      </c>
      <c r="D14" s="12">
        <v>50</v>
      </c>
      <c r="E14" s="12" t="str">
        <f>VLOOKUP(A14,'[2]Genel Liste '!$G:$I,3,0)</f>
        <v>BAY</v>
      </c>
      <c r="F14" s="12" t="s">
        <v>29</v>
      </c>
      <c r="G14" s="12"/>
      <c r="H14" s="12"/>
      <c r="I14" s="12" t="s">
        <v>287</v>
      </c>
      <c r="J14" s="12" t="s">
        <v>284</v>
      </c>
      <c r="K14" s="15">
        <v>42500</v>
      </c>
      <c r="L14" s="12" t="s">
        <v>22</v>
      </c>
      <c r="M14" s="12" t="s">
        <v>36</v>
      </c>
      <c r="N14" s="15">
        <v>42500</v>
      </c>
      <c r="O14" s="12" t="s">
        <v>37</v>
      </c>
      <c r="P14" s="21" t="s">
        <v>295</v>
      </c>
      <c r="Q14" s="16" t="str">
        <f>VLOOKUP(A14,'[1]İBB BİO'!$B:$G,6,0)</f>
        <v>07.00-15.00/15.00-23.00/23.00-07.00 DÖNÜŞÜMLÜ VARDİYA
34.500 TL MAAŞ - SERVİS - YEMEKHANE</v>
      </c>
      <c r="R14" s="12" t="s">
        <v>305</v>
      </c>
      <c r="S14" s="12" t="s">
        <v>309</v>
      </c>
      <c r="T14" s="12" t="s">
        <v>312</v>
      </c>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row>
    <row r="15" spans="1:62" ht="56.25" x14ac:dyDescent="0.3">
      <c r="A15" s="12" t="s">
        <v>238</v>
      </c>
      <c r="B15" s="12" t="s">
        <v>250</v>
      </c>
      <c r="C15" s="12" t="s">
        <v>263</v>
      </c>
      <c r="D15" s="12">
        <v>50</v>
      </c>
      <c r="E15" s="12" t="str">
        <f>VLOOKUP(A15,'[2]Genel Liste '!$G:$I,3,0)</f>
        <v>BAY</v>
      </c>
      <c r="F15" s="12"/>
      <c r="G15" s="12"/>
      <c r="H15" s="12"/>
      <c r="I15" s="12" t="s">
        <v>280</v>
      </c>
      <c r="J15" s="12" t="s">
        <v>284</v>
      </c>
      <c r="K15" s="15">
        <v>34900</v>
      </c>
      <c r="L15" s="12">
        <v>8690</v>
      </c>
      <c r="M15" s="12">
        <v>3628</v>
      </c>
      <c r="N15" s="15">
        <f>SUM(K15,M15)</f>
        <v>38528</v>
      </c>
      <c r="O15" s="12" t="s">
        <v>37</v>
      </c>
      <c r="P15" s="21" t="s">
        <v>302</v>
      </c>
      <c r="Q15" s="16" t="str">
        <f>VLOOKUP(A15,'[1]İBB BİO'!$B:$G,6,0)</f>
        <v>07.00-15.00 / 13.00-21.00 SABİT VARDİYA ( Hafta içi 1 gün izin)
34.900 TL MAAŞ + 2748 TL NAKİT YOL ÖDEMESİ + 8690 TL MULTİNE</v>
      </c>
      <c r="R15" s="12" t="s">
        <v>305</v>
      </c>
      <c r="S15" s="12" t="s">
        <v>308</v>
      </c>
      <c r="T15" s="12" t="s">
        <v>314</v>
      </c>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row>
    <row r="16" spans="1:62" ht="93.75" x14ac:dyDescent="0.3">
      <c r="A16" s="12" t="s">
        <v>239</v>
      </c>
      <c r="B16" s="12" t="s">
        <v>244</v>
      </c>
      <c r="C16" s="12" t="s">
        <v>244</v>
      </c>
      <c r="D16" s="12">
        <v>45</v>
      </c>
      <c r="E16" s="12" t="str">
        <f>VLOOKUP(A16,'[2]Genel Liste '!$G:$I,3,0)</f>
        <v>BAY</v>
      </c>
      <c r="F16" s="12"/>
      <c r="G16" s="12"/>
      <c r="H16" s="12"/>
      <c r="I16" s="12" t="s">
        <v>281</v>
      </c>
      <c r="J16" s="12" t="s">
        <v>284</v>
      </c>
      <c r="K16" s="15">
        <v>35000</v>
      </c>
      <c r="L16" s="12">
        <v>8300</v>
      </c>
      <c r="M16" s="12">
        <v>3628</v>
      </c>
      <c r="N16" s="15">
        <f>SUM(K16,M16)</f>
        <v>38628</v>
      </c>
      <c r="O16" s="12" t="s">
        <v>37</v>
      </c>
      <c r="P16" s="21" t="s">
        <v>303</v>
      </c>
      <c r="Q16" s="16" t="str">
        <f>VLOOKUP(A16,'[1]İBB BİO'!$B:$G,6,0)</f>
        <v>Çalışma Şartları: Hafta içi 08.00/17.30 arası çalışma/Cumartesi yarım gün Pazar tatil (Resmi Günler Tatil)
MAAŞ : 35.000 + Nakit Yol + 8300 TL Multinet Ödemesi</v>
      </c>
      <c r="R16" s="12" t="s">
        <v>306</v>
      </c>
      <c r="S16" s="12" t="s">
        <v>309</v>
      </c>
      <c r="T16" s="12" t="s">
        <v>313</v>
      </c>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row>
    <row r="17" spans="1:62" ht="56.25" x14ac:dyDescent="0.3">
      <c r="A17" s="12" t="s">
        <v>240</v>
      </c>
      <c r="B17" s="12" t="s">
        <v>252</v>
      </c>
      <c r="C17" s="12" t="s">
        <v>264</v>
      </c>
      <c r="D17" s="12">
        <v>50</v>
      </c>
      <c r="E17" s="12" t="str">
        <f>VLOOKUP(A17,'[2]Genel Liste '!$G:$I,3,0)</f>
        <v>BAY</v>
      </c>
      <c r="F17" s="12"/>
      <c r="G17" s="12"/>
      <c r="H17" s="12"/>
      <c r="I17" s="12" t="s">
        <v>282</v>
      </c>
      <c r="J17" s="12" t="s">
        <v>284</v>
      </c>
      <c r="K17" s="15">
        <v>28000</v>
      </c>
      <c r="L17" s="12">
        <v>10000</v>
      </c>
      <c r="M17" s="12" t="s">
        <v>289</v>
      </c>
      <c r="N17" s="15">
        <v>28000</v>
      </c>
      <c r="O17" s="12" t="s">
        <v>37</v>
      </c>
      <c r="P17" s="21" t="s">
        <v>304</v>
      </c>
      <c r="Q17" s="16" t="str">
        <f>VLOOKUP(A17,'[1]İBB BİO'!$B:$G,6,0)</f>
        <v xml:space="preserve"> ÇİFT VARDİYA 08:00/15:00-15:00/22:00
ASGARİ ÜCRET +13.567 MULTİNET(YOL+YEMEK)</v>
      </c>
      <c r="R17" s="12" t="s">
        <v>306</v>
      </c>
      <c r="S17" s="12" t="s">
        <v>309</v>
      </c>
      <c r="T17" s="12" t="s">
        <v>313</v>
      </c>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row>
  </sheetData>
  <phoneticPr fontId="2" type="noConversion"/>
  <hyperlinks>
    <hyperlink ref="P3" r:id="rId1" xr:uid="{6BCD900D-B7DE-4298-9DB9-3D81B1F17BB8}"/>
    <hyperlink ref="P2" r:id="rId2" xr:uid="{13261DF3-45A4-4DF9-BC76-FFDB9FDC4E43}"/>
    <hyperlink ref="P4" r:id="rId3" xr:uid="{842F92A8-50DC-4D56-AD97-8836D35855E7}"/>
    <hyperlink ref="P5" r:id="rId4" xr:uid="{DBFF02FF-1CBC-48D0-B58A-75BEA5853E07}"/>
    <hyperlink ref="P7" r:id="rId5" xr:uid="{14051991-4717-4398-B565-9CBDDC89DE11}"/>
    <hyperlink ref="P8" r:id="rId6" xr:uid="{CD0650C6-61D9-4E20-8F66-D6E7D70B3BE3}"/>
    <hyperlink ref="P9" r:id="rId7" xr:uid="{9D15993D-9E3A-4F5C-9A19-4CF13F3AF2BD}"/>
    <hyperlink ref="P10" r:id="rId8" xr:uid="{ACD7921A-7C8C-49F1-9608-9F50AC98E86F}"/>
    <hyperlink ref="P11" r:id="rId9" xr:uid="{E562CFE1-A991-4BEF-B1D5-E8CCDF88C4B5}"/>
    <hyperlink ref="P12" r:id="rId10" xr:uid="{B3588545-5AC1-4D91-B0EB-CE0CE2A055A9}"/>
    <hyperlink ref="P13" r:id="rId11" xr:uid="{2C4A94C2-0BAA-479A-8E8C-FAF4EF09DB10}"/>
    <hyperlink ref="P14" r:id="rId12" xr:uid="{4F45DE04-2E75-43B3-A992-BAF80D925A5D}"/>
    <hyperlink ref="P15" r:id="rId13" xr:uid="{58C7016A-52D1-4DCB-AAB6-076556A41F29}"/>
    <hyperlink ref="P16" r:id="rId14" xr:uid="{97796BE7-1E47-4C29-894D-A502E8EB26CB}"/>
    <hyperlink ref="P17" r:id="rId15" xr:uid="{07C272FC-F940-4E61-AC9B-5789AD547D46}"/>
  </hyperlinks>
  <pageMargins left="0.70866141732283472" right="0.70866141732283472" top="0.74803149606299213" bottom="0.74803149606299213" header="0.31496062992125984" footer="0.31496062992125984"/>
  <pageSetup paperSize="9" scale="29" fitToWidth="2" orientation="landscape" r:id="rId16"/>
  <headerFooter>
    <oddHeader>&amp;L&amp;"calibri,Bold"&amp;10&amp;K3399FFGİZLİ (Nitelikli Kişisel Veri İçerir)</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F269D-571B-48E2-B795-2FD9D0213180}">
  <dimension ref="A1:BI12"/>
  <sheetViews>
    <sheetView tabSelected="1" zoomScale="85" zoomScaleNormal="85" workbookViewId="0">
      <selection activeCell="D17" sqref="D17"/>
    </sheetView>
  </sheetViews>
  <sheetFormatPr defaultRowHeight="15" x14ac:dyDescent="0.25"/>
  <cols>
    <col min="1" max="1" width="25.5703125" bestFit="1" customWidth="1"/>
    <col min="2" max="2" width="31.85546875" bestFit="1" customWidth="1"/>
    <col min="3" max="3" width="38.5703125" bestFit="1" customWidth="1"/>
    <col min="4" max="4" width="9.28515625" customWidth="1"/>
    <col min="5" max="5" width="12.85546875" bestFit="1" customWidth="1"/>
    <col min="6" max="6" width="6.5703125" bestFit="1" customWidth="1"/>
    <col min="7" max="7" width="7.7109375" bestFit="1" customWidth="1"/>
    <col min="8" max="8" width="8.7109375" bestFit="1" customWidth="1"/>
    <col min="9" max="9" width="12.42578125" bestFit="1" customWidth="1"/>
    <col min="10" max="10" width="21.85546875" customWidth="1"/>
    <col min="11" max="11" width="16.7109375" bestFit="1" customWidth="1"/>
    <col min="12" max="12" width="14.7109375" bestFit="1" customWidth="1"/>
    <col min="13" max="13" width="8.42578125" bestFit="1" customWidth="1"/>
    <col min="14" max="14" width="11.7109375" bestFit="1" customWidth="1"/>
    <col min="15" max="15" width="44.7109375" bestFit="1" customWidth="1"/>
    <col min="16" max="16" width="10.140625" hidden="1" customWidth="1"/>
    <col min="17" max="17" width="47.5703125" customWidth="1"/>
    <col min="18" max="18" width="13.5703125" bestFit="1" customWidth="1"/>
    <col min="19" max="19" width="14.28515625" bestFit="1" customWidth="1"/>
  </cols>
  <sheetData>
    <row r="1" spans="1:61" s="13" customFormat="1" ht="18.75" x14ac:dyDescent="0.3">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9" t="s">
        <v>15</v>
      </c>
      <c r="Q1" s="18" t="s">
        <v>16</v>
      </c>
      <c r="R1" s="20" t="s">
        <v>17</v>
      </c>
      <c r="S1" s="18" t="s">
        <v>18</v>
      </c>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row>
    <row r="2" spans="1:61" x14ac:dyDescent="0.25">
      <c r="A2" s="10" t="s">
        <v>316</v>
      </c>
      <c r="B2" s="10" t="s">
        <v>330</v>
      </c>
      <c r="C2" s="10" t="s">
        <v>327</v>
      </c>
      <c r="D2" s="10">
        <v>37</v>
      </c>
      <c r="E2" s="10" t="s">
        <v>267</v>
      </c>
      <c r="F2" s="10" t="s">
        <v>344</v>
      </c>
      <c r="G2" s="10" t="s">
        <v>345</v>
      </c>
      <c r="H2" s="10" t="s">
        <v>345</v>
      </c>
      <c r="I2" s="10" t="s">
        <v>347</v>
      </c>
      <c r="J2" s="22">
        <v>38000</v>
      </c>
      <c r="K2" s="10" t="s">
        <v>349</v>
      </c>
      <c r="L2" s="10" t="s">
        <v>353</v>
      </c>
      <c r="M2" s="10">
        <v>52000</v>
      </c>
      <c r="N2" s="10"/>
      <c r="O2" s="25" t="s">
        <v>370</v>
      </c>
      <c r="P2" s="10"/>
      <c r="Q2" s="10" t="s">
        <v>362</v>
      </c>
      <c r="R2" s="10" t="s">
        <v>358</v>
      </c>
      <c r="S2" s="10" t="s">
        <v>357</v>
      </c>
    </row>
    <row r="3" spans="1:61" x14ac:dyDescent="0.25">
      <c r="A3" s="10" t="s">
        <v>317</v>
      </c>
      <c r="B3" s="10" t="s">
        <v>330</v>
      </c>
      <c r="C3" s="10" t="s">
        <v>335</v>
      </c>
      <c r="D3" s="10">
        <v>37</v>
      </c>
      <c r="E3" s="10" t="s">
        <v>343</v>
      </c>
      <c r="F3" s="10" t="s">
        <v>344</v>
      </c>
      <c r="G3" s="10" t="s">
        <v>345</v>
      </c>
      <c r="H3" s="10" t="s">
        <v>345</v>
      </c>
      <c r="I3" s="10" t="s">
        <v>348</v>
      </c>
      <c r="J3" s="10">
        <v>42000</v>
      </c>
      <c r="K3" s="10" t="s">
        <v>350</v>
      </c>
      <c r="L3" s="10" t="s">
        <v>356</v>
      </c>
      <c r="M3" s="10">
        <v>42000</v>
      </c>
      <c r="N3" s="10"/>
      <c r="O3" s="25" t="s">
        <v>371</v>
      </c>
      <c r="P3" s="10"/>
      <c r="Q3" s="10" t="s">
        <v>363</v>
      </c>
      <c r="R3" s="10" t="s">
        <v>358</v>
      </c>
      <c r="S3" s="10" t="s">
        <v>357</v>
      </c>
    </row>
    <row r="4" spans="1:61" x14ac:dyDescent="0.25">
      <c r="A4" s="10" t="s">
        <v>318</v>
      </c>
      <c r="B4" s="10" t="s">
        <v>330</v>
      </c>
      <c r="C4" s="10" t="s">
        <v>328</v>
      </c>
      <c r="D4" s="10">
        <v>37</v>
      </c>
      <c r="E4" s="10" t="s">
        <v>267</v>
      </c>
      <c r="F4" s="10" t="s">
        <v>344</v>
      </c>
      <c r="G4" s="10" t="s">
        <v>345</v>
      </c>
      <c r="H4" s="10" t="s">
        <v>345</v>
      </c>
      <c r="I4" s="10" t="s">
        <v>348</v>
      </c>
      <c r="J4" s="10">
        <v>40000</v>
      </c>
      <c r="K4" s="10" t="s">
        <v>350</v>
      </c>
      <c r="L4" s="10" t="s">
        <v>354</v>
      </c>
      <c r="M4" s="10">
        <v>40000</v>
      </c>
      <c r="N4" s="10"/>
      <c r="O4" s="25" t="s">
        <v>372</v>
      </c>
      <c r="P4" s="10"/>
      <c r="Q4" s="10" t="s">
        <v>364</v>
      </c>
      <c r="R4" s="10" t="s">
        <v>358</v>
      </c>
      <c r="S4" s="10" t="s">
        <v>357</v>
      </c>
    </row>
    <row r="5" spans="1:61" x14ac:dyDescent="0.25">
      <c r="A5" s="10" t="s">
        <v>319</v>
      </c>
      <c r="B5" s="10" t="s">
        <v>331</v>
      </c>
      <c r="C5" s="10" t="s">
        <v>329</v>
      </c>
      <c r="D5" s="10">
        <v>40</v>
      </c>
      <c r="E5" s="10" t="s">
        <v>343</v>
      </c>
      <c r="F5" s="10" t="s">
        <v>344</v>
      </c>
      <c r="G5" s="10" t="s">
        <v>345</v>
      </c>
      <c r="H5" s="10" t="s">
        <v>345</v>
      </c>
      <c r="I5" s="10" t="s">
        <v>348</v>
      </c>
      <c r="J5" s="10">
        <v>38000</v>
      </c>
      <c r="K5" s="10" t="s">
        <v>350</v>
      </c>
      <c r="L5" s="10" t="s">
        <v>356</v>
      </c>
      <c r="M5" s="10">
        <v>38000</v>
      </c>
      <c r="N5" s="10"/>
      <c r="O5" s="25" t="s">
        <v>373</v>
      </c>
      <c r="P5" s="10"/>
      <c r="Q5" s="10" t="s">
        <v>365</v>
      </c>
      <c r="R5" s="10" t="s">
        <v>358</v>
      </c>
      <c r="S5" s="10" t="s">
        <v>357</v>
      </c>
    </row>
    <row r="6" spans="1:61" x14ac:dyDescent="0.25">
      <c r="A6" s="10" t="s">
        <v>320</v>
      </c>
      <c r="B6" s="10" t="s">
        <v>336</v>
      </c>
      <c r="C6" s="10" t="s">
        <v>337</v>
      </c>
      <c r="D6" s="10">
        <v>48</v>
      </c>
      <c r="E6" s="10" t="s">
        <v>267</v>
      </c>
      <c r="F6" s="10" t="s">
        <v>344</v>
      </c>
      <c r="G6" s="10" t="s">
        <v>346</v>
      </c>
      <c r="H6" s="10" t="s">
        <v>345</v>
      </c>
      <c r="I6" s="10" t="s">
        <v>348</v>
      </c>
      <c r="J6" s="10">
        <v>38500</v>
      </c>
      <c r="K6" s="10" t="s">
        <v>351</v>
      </c>
      <c r="L6" s="10" t="s">
        <v>356</v>
      </c>
      <c r="M6" s="10">
        <v>42500</v>
      </c>
      <c r="N6" s="10"/>
      <c r="O6" s="25" t="s">
        <v>374</v>
      </c>
      <c r="P6" s="10"/>
      <c r="Q6" s="10" t="s">
        <v>366</v>
      </c>
      <c r="R6" s="10" t="s">
        <v>358</v>
      </c>
      <c r="S6" s="10" t="s">
        <v>357</v>
      </c>
    </row>
    <row r="7" spans="1:61" x14ac:dyDescent="0.25">
      <c r="A7" s="10" t="s">
        <v>321</v>
      </c>
      <c r="B7" s="10" t="s">
        <v>330</v>
      </c>
      <c r="C7" s="10" t="s">
        <v>338</v>
      </c>
      <c r="D7" s="10">
        <v>48</v>
      </c>
      <c r="E7" s="10" t="s">
        <v>267</v>
      </c>
      <c r="F7" s="10" t="s">
        <v>344</v>
      </c>
      <c r="G7" s="10" t="s">
        <v>346</v>
      </c>
      <c r="H7" s="10" t="s">
        <v>345</v>
      </c>
      <c r="I7" s="10" t="s">
        <v>348</v>
      </c>
      <c r="J7" s="10">
        <v>41000</v>
      </c>
      <c r="K7" s="10" t="s">
        <v>350</v>
      </c>
      <c r="L7" s="10" t="s">
        <v>356</v>
      </c>
      <c r="M7" s="10">
        <v>41000</v>
      </c>
      <c r="N7" s="10"/>
      <c r="O7" s="25" t="s">
        <v>375</v>
      </c>
      <c r="P7" s="10"/>
      <c r="Q7" s="10" t="s">
        <v>359</v>
      </c>
      <c r="R7" s="10" t="s">
        <v>358</v>
      </c>
      <c r="S7" s="10" t="s">
        <v>357</v>
      </c>
    </row>
    <row r="8" spans="1:61" x14ac:dyDescent="0.25">
      <c r="A8" s="10" t="s">
        <v>322</v>
      </c>
      <c r="B8" s="10" t="s">
        <v>332</v>
      </c>
      <c r="C8" s="10" t="s">
        <v>341</v>
      </c>
      <c r="D8" s="10">
        <v>45</v>
      </c>
      <c r="E8" s="10" t="s">
        <v>267</v>
      </c>
      <c r="F8" s="10" t="s">
        <v>344</v>
      </c>
      <c r="G8" s="10" t="s">
        <v>345</v>
      </c>
      <c r="H8" s="10" t="s">
        <v>345</v>
      </c>
      <c r="I8" s="10" t="s">
        <v>348</v>
      </c>
      <c r="J8" s="10">
        <v>32000</v>
      </c>
      <c r="K8" s="10" t="s">
        <v>352</v>
      </c>
      <c r="L8" s="10" t="s">
        <v>355</v>
      </c>
      <c r="M8" s="10">
        <v>36500</v>
      </c>
      <c r="N8" s="10"/>
      <c r="O8" s="25" t="s">
        <v>376</v>
      </c>
      <c r="P8" s="10"/>
      <c r="Q8" s="10" t="s">
        <v>360</v>
      </c>
      <c r="R8" s="10" t="s">
        <v>358</v>
      </c>
      <c r="S8" s="10" t="s">
        <v>357</v>
      </c>
    </row>
    <row r="9" spans="1:61" x14ac:dyDescent="0.25">
      <c r="A9" s="10" t="s">
        <v>323</v>
      </c>
      <c r="B9" s="10" t="s">
        <v>333</v>
      </c>
      <c r="C9" s="10" t="s">
        <v>342</v>
      </c>
      <c r="D9" s="10">
        <v>40</v>
      </c>
      <c r="E9" s="10" t="s">
        <v>343</v>
      </c>
      <c r="F9" s="10" t="s">
        <v>344</v>
      </c>
      <c r="G9" s="10" t="s">
        <v>345</v>
      </c>
      <c r="H9" s="10" t="s">
        <v>345</v>
      </c>
      <c r="I9" s="10" t="s">
        <v>348</v>
      </c>
      <c r="J9" s="10">
        <v>32500</v>
      </c>
      <c r="K9" s="10" t="s">
        <v>350</v>
      </c>
      <c r="L9" s="10" t="s">
        <v>356</v>
      </c>
      <c r="M9" s="10">
        <v>34000</v>
      </c>
      <c r="N9" s="10"/>
      <c r="O9" s="25" t="s">
        <v>377</v>
      </c>
      <c r="P9" s="10"/>
      <c r="Q9" s="10" t="s">
        <v>361</v>
      </c>
      <c r="R9" s="10" t="s">
        <v>358</v>
      </c>
      <c r="S9" s="10" t="s">
        <v>357</v>
      </c>
    </row>
    <row r="10" spans="1:61" x14ac:dyDescent="0.25">
      <c r="A10" s="10" t="s">
        <v>324</v>
      </c>
      <c r="B10" s="10" t="s">
        <v>334</v>
      </c>
      <c r="C10" s="10" t="s">
        <v>339</v>
      </c>
      <c r="D10" s="10">
        <v>47</v>
      </c>
      <c r="E10" s="10" t="s">
        <v>267</v>
      </c>
      <c r="F10" s="10" t="s">
        <v>344</v>
      </c>
      <c r="G10" s="10" t="s">
        <v>346</v>
      </c>
      <c r="H10" s="10" t="s">
        <v>345</v>
      </c>
      <c r="I10" s="10" t="s">
        <v>348</v>
      </c>
      <c r="J10" s="22">
        <v>38500</v>
      </c>
      <c r="K10" s="10" t="s">
        <v>350</v>
      </c>
      <c r="L10" s="10" t="s">
        <v>356</v>
      </c>
      <c r="M10" s="10">
        <v>38500</v>
      </c>
      <c r="N10" s="10"/>
      <c r="O10" s="25" t="s">
        <v>378</v>
      </c>
      <c r="P10" s="10"/>
      <c r="Q10" s="10" t="s">
        <v>367</v>
      </c>
      <c r="R10" s="10" t="s">
        <v>358</v>
      </c>
      <c r="S10" s="10" t="s">
        <v>357</v>
      </c>
    </row>
    <row r="11" spans="1:61" x14ac:dyDescent="0.25">
      <c r="A11" s="10" t="s">
        <v>325</v>
      </c>
      <c r="B11" s="10" t="s">
        <v>330</v>
      </c>
      <c r="C11" s="10" t="s">
        <v>340</v>
      </c>
      <c r="D11" s="10">
        <v>40</v>
      </c>
      <c r="E11" s="10" t="s">
        <v>267</v>
      </c>
      <c r="F11" s="10" t="s">
        <v>344</v>
      </c>
      <c r="G11" s="10" t="s">
        <v>345</v>
      </c>
      <c r="H11" s="10" t="s">
        <v>345</v>
      </c>
      <c r="I11" s="10" t="s">
        <v>348</v>
      </c>
      <c r="J11" s="10">
        <v>35400</v>
      </c>
      <c r="K11" s="10" t="s">
        <v>350</v>
      </c>
      <c r="L11" s="10" t="s">
        <v>356</v>
      </c>
      <c r="M11" s="10">
        <v>35400</v>
      </c>
      <c r="N11" s="10"/>
      <c r="O11" s="25" t="s">
        <v>380</v>
      </c>
      <c r="P11" s="10"/>
      <c r="Q11" s="10" t="s">
        <v>368</v>
      </c>
      <c r="R11" s="10" t="s">
        <v>358</v>
      </c>
      <c r="S11" s="10" t="s">
        <v>357</v>
      </c>
    </row>
    <row r="12" spans="1:61" x14ac:dyDescent="0.25">
      <c r="A12" s="10" t="s">
        <v>326</v>
      </c>
      <c r="B12" s="10" t="s">
        <v>336</v>
      </c>
      <c r="C12" s="10" t="s">
        <v>337</v>
      </c>
      <c r="D12" s="10">
        <v>48</v>
      </c>
      <c r="E12" s="10" t="s">
        <v>267</v>
      </c>
      <c r="F12" s="10" t="s">
        <v>344</v>
      </c>
      <c r="G12" s="10" t="s">
        <v>346</v>
      </c>
      <c r="H12" s="10" t="s">
        <v>345</v>
      </c>
      <c r="I12" s="10" t="s">
        <v>348</v>
      </c>
      <c r="J12" s="10">
        <v>38000</v>
      </c>
      <c r="K12" s="10" t="s">
        <v>351</v>
      </c>
      <c r="L12" s="10" t="s">
        <v>356</v>
      </c>
      <c r="M12" s="10">
        <v>42000</v>
      </c>
      <c r="N12" s="10"/>
      <c r="O12" s="25" t="s">
        <v>379</v>
      </c>
      <c r="P12" s="10"/>
      <c r="Q12" s="10" t="s">
        <v>369</v>
      </c>
      <c r="R12" s="10" t="s">
        <v>358</v>
      </c>
      <c r="S12" s="10" t="s">
        <v>357</v>
      </c>
    </row>
  </sheetData>
  <hyperlinks>
    <hyperlink ref="O2" r:id="rId1" xr:uid="{340AD7C0-AEDB-4689-AE4E-149A2E0F9B48}"/>
    <hyperlink ref="O3" r:id="rId2" xr:uid="{3A434692-05C2-4796-97B8-BC050A41C4EF}"/>
    <hyperlink ref="O4" r:id="rId3" xr:uid="{6144E8C9-0E2E-4869-A72B-FD7B58F0A1EF}"/>
    <hyperlink ref="O5" r:id="rId4" xr:uid="{2D4CA6C4-00E0-4199-B9B6-84200044D948}"/>
    <hyperlink ref="O6" r:id="rId5" xr:uid="{C170E78A-76D7-4FC0-8775-0B6946935B31}"/>
    <hyperlink ref="O7" r:id="rId6" xr:uid="{C52B6C0B-0C58-45E1-838C-E8ADBB399D97}"/>
    <hyperlink ref="O8" r:id="rId7" xr:uid="{A2E65DB1-EB69-4FA6-9762-5A70BF959751}"/>
    <hyperlink ref="O9" r:id="rId8" xr:uid="{D98C31F0-7B30-46C2-9E0E-B259FED4A760}"/>
    <hyperlink ref="O10" r:id="rId9" xr:uid="{442F1DB0-8A09-45D8-8D49-FA6EC609CC3D}"/>
    <hyperlink ref="O12" r:id="rId10" xr:uid="{E353B1D8-12C2-4661-BEE7-0BA4797B2FCE}"/>
    <hyperlink ref="O11" r:id="rId11" xr:uid="{37EA5700-17A2-4C02-8803-27902E54D23F}"/>
  </hyperlinks>
  <pageMargins left="0.7" right="0.7" top="0.75" bottom="0.75" header="0.3" footer="0.3"/>
  <pageSetup paperSize="9" orientation="portrait" r:id="rId12"/>
  <headerFooter>
    <oddHeader>&amp;L&amp;"calibri,Bold"&amp;10&amp;K3399FFGİZLİ (Nitelikli Kişisel Veri İçerir)</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33F89-ADE0-40FF-9BB3-DD206AD36FEA}">
  <dimension ref="A1:G105"/>
  <sheetViews>
    <sheetView topLeftCell="A4" workbookViewId="0">
      <selection activeCell="E12" sqref="E12"/>
    </sheetView>
  </sheetViews>
  <sheetFormatPr defaultRowHeight="15" x14ac:dyDescent="0.25"/>
  <cols>
    <col min="1" max="1" width="36" style="1" bestFit="1" customWidth="1"/>
    <col min="2" max="2" width="11.7109375" style="1" bestFit="1" customWidth="1"/>
    <col min="3" max="3" width="24.7109375" style="1" customWidth="1"/>
    <col min="4" max="4" width="64.28515625" bestFit="1" customWidth="1"/>
    <col min="5" max="5" width="26.140625" style="11" bestFit="1" customWidth="1"/>
    <col min="6" max="6" width="23.85546875" bestFit="1" customWidth="1"/>
    <col min="7" max="7" width="30.5703125" bestFit="1" customWidth="1"/>
  </cols>
  <sheetData>
    <row r="1" spans="1:7" x14ac:dyDescent="0.25">
      <c r="A1" s="2" t="s">
        <v>0</v>
      </c>
      <c r="B1" s="2" t="s">
        <v>1</v>
      </c>
      <c r="C1" s="2" t="s">
        <v>2</v>
      </c>
      <c r="D1" s="8" t="s">
        <v>136</v>
      </c>
      <c r="E1" s="11" t="s">
        <v>137</v>
      </c>
      <c r="F1" s="8" t="s">
        <v>138</v>
      </c>
      <c r="G1" s="23" t="s">
        <v>139</v>
      </c>
    </row>
    <row r="2" spans="1:7" x14ac:dyDescent="0.25">
      <c r="A2" s="7" t="s">
        <v>19</v>
      </c>
      <c r="B2" s="7" t="s">
        <v>20</v>
      </c>
      <c r="C2" s="7" t="s">
        <v>21</v>
      </c>
      <c r="D2" s="10" t="s">
        <v>140</v>
      </c>
      <c r="E2" s="11" t="s">
        <v>141</v>
      </c>
      <c r="G2" s="23"/>
    </row>
    <row r="3" spans="1:7" x14ac:dyDescent="0.25">
      <c r="A3" s="10" t="s">
        <v>26</v>
      </c>
      <c r="B3" s="10" t="s">
        <v>27</v>
      </c>
      <c r="C3" s="10" t="s">
        <v>28</v>
      </c>
      <c r="D3" s="10"/>
      <c r="G3" s="23"/>
    </row>
    <row r="4" spans="1:7" x14ac:dyDescent="0.25">
      <c r="A4" s="10" t="s">
        <v>26</v>
      </c>
      <c r="B4" s="10" t="s">
        <v>42</v>
      </c>
      <c r="C4" s="10" t="s">
        <v>74</v>
      </c>
      <c r="D4" s="10" t="s">
        <v>142</v>
      </c>
      <c r="E4" s="11" t="s">
        <v>143</v>
      </c>
      <c r="G4" s="23"/>
    </row>
    <row r="5" spans="1:7" x14ac:dyDescent="0.25">
      <c r="A5" s="10" t="s">
        <v>23</v>
      </c>
      <c r="B5" s="10" t="s">
        <v>24</v>
      </c>
      <c r="C5" s="10" t="s">
        <v>25</v>
      </c>
      <c r="D5" s="10" t="s">
        <v>144</v>
      </c>
      <c r="E5" s="11" t="s">
        <v>145</v>
      </c>
      <c r="G5" s="23"/>
    </row>
    <row r="6" spans="1:7" x14ac:dyDescent="0.25">
      <c r="A6" s="10" t="s">
        <v>26</v>
      </c>
      <c r="B6" s="10" t="s">
        <v>20</v>
      </c>
      <c r="C6" s="10" t="s">
        <v>31</v>
      </c>
      <c r="D6" s="10"/>
      <c r="G6" s="23"/>
    </row>
    <row r="7" spans="1:7" x14ac:dyDescent="0.25">
      <c r="A7" s="10" t="s">
        <v>32</v>
      </c>
      <c r="B7" s="10" t="s">
        <v>20</v>
      </c>
      <c r="C7" s="10" t="s">
        <v>33</v>
      </c>
      <c r="D7" s="10"/>
      <c r="E7" s="11" t="s">
        <v>145</v>
      </c>
      <c r="G7" s="23"/>
    </row>
    <row r="8" spans="1:7" x14ac:dyDescent="0.25">
      <c r="A8" s="10" t="s">
        <v>34</v>
      </c>
      <c r="B8" s="10" t="s">
        <v>35</v>
      </c>
      <c r="C8" s="10" t="s">
        <v>35</v>
      </c>
      <c r="D8" s="10" t="s">
        <v>146</v>
      </c>
      <c r="E8" s="11" t="s">
        <v>147</v>
      </c>
    </row>
    <row r="9" spans="1:7" x14ac:dyDescent="0.25">
      <c r="A9" s="10" t="s">
        <v>38</v>
      </c>
      <c r="B9" s="10" t="s">
        <v>20</v>
      </c>
      <c r="C9" s="10" t="s">
        <v>39</v>
      </c>
      <c r="D9" s="10" t="s">
        <v>148</v>
      </c>
      <c r="E9" s="11" t="s">
        <v>145</v>
      </c>
    </row>
    <row r="10" spans="1:7" x14ac:dyDescent="0.25">
      <c r="A10" s="10" t="s">
        <v>38</v>
      </c>
      <c r="B10" s="10" t="s">
        <v>20</v>
      </c>
      <c r="C10" s="10" t="s">
        <v>40</v>
      </c>
      <c r="D10" s="10" t="s">
        <v>149</v>
      </c>
      <c r="E10" s="11" t="s">
        <v>145</v>
      </c>
    </row>
    <row r="11" spans="1:7" x14ac:dyDescent="0.25">
      <c r="A11" s="10" t="s">
        <v>41</v>
      </c>
      <c r="B11" s="10" t="s">
        <v>42</v>
      </c>
      <c r="C11" s="10" t="s">
        <v>43</v>
      </c>
      <c r="D11" s="10" t="s">
        <v>150</v>
      </c>
      <c r="E11" s="11" t="s">
        <v>145</v>
      </c>
    </row>
    <row r="12" spans="1:7" x14ac:dyDescent="0.25">
      <c r="A12" s="10" t="s">
        <v>45</v>
      </c>
      <c r="B12" s="10" t="s">
        <v>151</v>
      </c>
      <c r="C12" s="10" t="s">
        <v>151</v>
      </c>
      <c r="D12" s="10" t="s">
        <v>142</v>
      </c>
      <c r="E12" s="11" t="s">
        <v>145</v>
      </c>
    </row>
    <row r="13" spans="1:7" x14ac:dyDescent="0.25">
      <c r="A13" s="10" t="s">
        <v>50</v>
      </c>
      <c r="B13" s="10" t="s">
        <v>20</v>
      </c>
      <c r="C13" s="10" t="s">
        <v>51</v>
      </c>
      <c r="D13" s="10" t="s">
        <v>152</v>
      </c>
      <c r="E13" s="11" t="s">
        <v>145</v>
      </c>
    </row>
    <row r="14" spans="1:7" x14ac:dyDescent="0.25">
      <c r="A14" s="10" t="s">
        <v>50</v>
      </c>
      <c r="B14" s="10" t="s">
        <v>20</v>
      </c>
      <c r="C14" s="10" t="s">
        <v>51</v>
      </c>
      <c r="D14" s="10"/>
    </row>
    <row r="15" spans="1:7" x14ac:dyDescent="0.25">
      <c r="A15" s="10" t="s">
        <v>52</v>
      </c>
      <c r="B15" s="10" t="s">
        <v>53</v>
      </c>
      <c r="C15" s="10" t="s">
        <v>46</v>
      </c>
      <c r="D15" s="10"/>
    </row>
    <row r="16" spans="1:7" ht="18" customHeight="1" x14ac:dyDescent="0.25">
      <c r="A16" s="10" t="s">
        <v>54</v>
      </c>
      <c r="B16" s="10" t="s">
        <v>55</v>
      </c>
      <c r="C16" s="10" t="s">
        <v>56</v>
      </c>
      <c r="D16" s="10" t="s">
        <v>153</v>
      </c>
      <c r="E16" s="11" t="s">
        <v>154</v>
      </c>
    </row>
    <row r="17" spans="1:6" x14ac:dyDescent="0.25">
      <c r="A17" s="10" t="s">
        <v>57</v>
      </c>
      <c r="B17" s="10" t="s">
        <v>20</v>
      </c>
      <c r="C17" s="10" t="s">
        <v>58</v>
      </c>
      <c r="D17" s="10" t="s">
        <v>155</v>
      </c>
      <c r="E17" s="11" t="s">
        <v>156</v>
      </c>
    </row>
    <row r="18" spans="1:6" x14ac:dyDescent="0.25">
      <c r="A18" s="10" t="s">
        <v>60</v>
      </c>
      <c r="B18" s="10" t="s">
        <v>58</v>
      </c>
      <c r="C18" s="10" t="s">
        <v>58</v>
      </c>
      <c r="D18" s="10"/>
    </row>
    <row r="19" spans="1:6" x14ac:dyDescent="0.25">
      <c r="A19" s="10" t="s">
        <v>60</v>
      </c>
      <c r="B19" s="10" t="s">
        <v>20</v>
      </c>
      <c r="C19" s="10" t="s">
        <v>61</v>
      </c>
      <c r="D19" s="10"/>
    </row>
    <row r="20" spans="1:6" x14ac:dyDescent="0.25">
      <c r="A20" s="10" t="s">
        <v>62</v>
      </c>
      <c r="B20" s="10" t="s">
        <v>58</v>
      </c>
      <c r="C20" s="10" t="s">
        <v>58</v>
      </c>
      <c r="D20" s="10" t="s">
        <v>157</v>
      </c>
      <c r="E20" s="11" t="s">
        <v>145</v>
      </c>
    </row>
    <row r="21" spans="1:6" x14ac:dyDescent="0.25">
      <c r="A21" s="10" t="s">
        <v>64</v>
      </c>
      <c r="B21" s="10" t="s">
        <v>55</v>
      </c>
      <c r="C21" s="10" t="s">
        <v>65</v>
      </c>
      <c r="D21" s="10" t="s">
        <v>158</v>
      </c>
      <c r="E21" s="11" t="s">
        <v>159</v>
      </c>
    </row>
    <row r="22" spans="1:6" x14ac:dyDescent="0.25">
      <c r="A22" s="10" t="s">
        <v>64</v>
      </c>
      <c r="B22" s="10" t="s">
        <v>20</v>
      </c>
      <c r="C22" s="10" t="s">
        <v>66</v>
      </c>
      <c r="D22" s="10"/>
    </row>
    <row r="23" spans="1:6" x14ac:dyDescent="0.25">
      <c r="A23" s="10" t="s">
        <v>67</v>
      </c>
      <c r="B23" s="10" t="s">
        <v>68</v>
      </c>
      <c r="C23" s="10" t="s">
        <v>69</v>
      </c>
      <c r="D23" s="10" t="s">
        <v>160</v>
      </c>
      <c r="E23" s="11" t="s">
        <v>161</v>
      </c>
    </row>
    <row r="24" spans="1:6" x14ac:dyDescent="0.25">
      <c r="A24" s="10" t="s">
        <v>70</v>
      </c>
      <c r="B24" s="10" t="s">
        <v>20</v>
      </c>
      <c r="C24" s="10" t="s">
        <v>71</v>
      </c>
      <c r="D24" s="10"/>
    </row>
    <row r="25" spans="1:6" x14ac:dyDescent="0.25">
      <c r="A25" s="10" t="s">
        <v>70</v>
      </c>
      <c r="B25" s="10" t="s">
        <v>72</v>
      </c>
      <c r="C25" s="10" t="s">
        <v>73</v>
      </c>
      <c r="D25" s="10"/>
    </row>
    <row r="26" spans="1:6" x14ac:dyDescent="0.25">
      <c r="A26" s="10" t="s">
        <v>70</v>
      </c>
      <c r="B26" s="10" t="s">
        <v>74</v>
      </c>
      <c r="C26" s="10" t="s">
        <v>75</v>
      </c>
      <c r="D26" s="10" t="s">
        <v>162</v>
      </c>
      <c r="E26" s="11" t="s">
        <v>163</v>
      </c>
      <c r="F26" s="9" t="s">
        <v>164</v>
      </c>
    </row>
    <row r="27" spans="1:6" x14ac:dyDescent="0.25">
      <c r="A27" s="10" t="s">
        <v>70</v>
      </c>
      <c r="B27" s="10" t="s">
        <v>20</v>
      </c>
      <c r="C27" s="10" t="s">
        <v>77</v>
      </c>
      <c r="D27" s="10"/>
    </row>
    <row r="28" spans="1:6" x14ac:dyDescent="0.25">
      <c r="A28" s="10" t="s">
        <v>78</v>
      </c>
      <c r="B28" s="10" t="s">
        <v>39</v>
      </c>
      <c r="C28" s="10" t="s">
        <v>79</v>
      </c>
      <c r="D28" s="10" t="s">
        <v>165</v>
      </c>
      <c r="E28" s="11" t="s">
        <v>166</v>
      </c>
      <c r="F28" s="9" t="s">
        <v>164</v>
      </c>
    </row>
    <row r="29" spans="1:6" x14ac:dyDescent="0.25">
      <c r="A29" s="10" t="s">
        <v>80</v>
      </c>
      <c r="B29" s="10" t="s">
        <v>20</v>
      </c>
      <c r="C29" s="10" t="s">
        <v>81</v>
      </c>
      <c r="D29" s="10" t="s">
        <v>167</v>
      </c>
      <c r="E29" s="11" t="s">
        <v>166</v>
      </c>
      <c r="F29" s="9" t="s">
        <v>164</v>
      </c>
    </row>
    <row r="30" spans="1:6" x14ac:dyDescent="0.25">
      <c r="A30" s="10" t="s">
        <v>82</v>
      </c>
      <c r="B30" s="10" t="s">
        <v>20</v>
      </c>
      <c r="C30" s="10" t="s">
        <v>83</v>
      </c>
      <c r="D30" s="10" t="s">
        <v>168</v>
      </c>
      <c r="E30" s="11" t="s">
        <v>145</v>
      </c>
    </row>
    <row r="31" spans="1:6" x14ac:dyDescent="0.25">
      <c r="A31" s="10" t="s">
        <v>84</v>
      </c>
      <c r="B31" s="10" t="s">
        <v>85</v>
      </c>
      <c r="C31" s="10" t="s">
        <v>85</v>
      </c>
      <c r="D31" s="10" t="s">
        <v>169</v>
      </c>
      <c r="E31" s="11" t="s">
        <v>170</v>
      </c>
    </row>
    <row r="32" spans="1:6" x14ac:dyDescent="0.25">
      <c r="A32" s="10" t="s">
        <v>86</v>
      </c>
      <c r="B32" s="10" t="s">
        <v>20</v>
      </c>
      <c r="C32" s="10" t="s">
        <v>87</v>
      </c>
      <c r="D32" s="10" t="s">
        <v>171</v>
      </c>
      <c r="E32" s="11" t="s">
        <v>145</v>
      </c>
    </row>
    <row r="33" spans="1:5" x14ac:dyDescent="0.25">
      <c r="A33" s="10" t="s">
        <v>88</v>
      </c>
      <c r="B33" s="10" t="s">
        <v>20</v>
      </c>
      <c r="C33" s="10" t="s">
        <v>89</v>
      </c>
      <c r="D33" s="10"/>
    </row>
    <row r="34" spans="1:5" x14ac:dyDescent="0.25">
      <c r="A34" s="10" t="s">
        <v>93</v>
      </c>
      <c r="B34" s="10" t="s">
        <v>94</v>
      </c>
      <c r="C34" s="10" t="s">
        <v>94</v>
      </c>
      <c r="D34" s="10" t="s">
        <v>172</v>
      </c>
      <c r="E34" s="11" t="s">
        <v>173</v>
      </c>
    </row>
    <row r="35" spans="1:5" x14ac:dyDescent="0.25">
      <c r="A35" s="10" t="s">
        <v>97</v>
      </c>
      <c r="B35" s="10" t="s">
        <v>42</v>
      </c>
      <c r="C35" s="10" t="s">
        <v>98</v>
      </c>
      <c r="D35" s="10" t="s">
        <v>174</v>
      </c>
      <c r="E35" s="11" t="s">
        <v>145</v>
      </c>
    </row>
    <row r="36" spans="1:5" x14ac:dyDescent="0.25">
      <c r="A36" s="10" t="s">
        <v>99</v>
      </c>
      <c r="B36" s="10" t="s">
        <v>20</v>
      </c>
      <c r="C36" s="10" t="s">
        <v>31</v>
      </c>
      <c r="D36" s="10" t="s">
        <v>142</v>
      </c>
      <c r="E36" s="11" t="s">
        <v>145</v>
      </c>
    </row>
    <row r="37" spans="1:5" x14ac:dyDescent="0.25">
      <c r="A37" s="10" t="s">
        <v>100</v>
      </c>
      <c r="B37" s="10" t="s">
        <v>53</v>
      </c>
      <c r="C37" s="10" t="s">
        <v>53</v>
      </c>
      <c r="D37" s="10" t="s">
        <v>175</v>
      </c>
      <c r="E37" s="11" t="s">
        <v>145</v>
      </c>
    </row>
    <row r="38" spans="1:5" x14ac:dyDescent="0.25">
      <c r="A38" s="10" t="s">
        <v>100</v>
      </c>
      <c r="B38" s="10" t="s">
        <v>53</v>
      </c>
      <c r="C38" s="10" t="s">
        <v>53</v>
      </c>
      <c r="D38" s="10" t="s">
        <v>175</v>
      </c>
      <c r="E38" s="11" t="s">
        <v>145</v>
      </c>
    </row>
    <row r="39" spans="1:5" x14ac:dyDescent="0.25">
      <c r="A39" s="10" t="s">
        <v>101</v>
      </c>
      <c r="B39" s="10" t="s">
        <v>20</v>
      </c>
      <c r="C39" s="10" t="s">
        <v>92</v>
      </c>
      <c r="D39" s="10" t="s">
        <v>176</v>
      </c>
      <c r="E39" s="11" t="s">
        <v>177</v>
      </c>
    </row>
    <row r="40" spans="1:5" x14ac:dyDescent="0.25">
      <c r="A40" s="10" t="s">
        <v>135</v>
      </c>
      <c r="B40" s="10" t="s">
        <v>20</v>
      </c>
      <c r="C40" s="10" t="s">
        <v>58</v>
      </c>
      <c r="D40" s="10" t="s">
        <v>178</v>
      </c>
      <c r="E40" s="11" t="s">
        <v>179</v>
      </c>
    </row>
    <row r="41" spans="1:5" x14ac:dyDescent="0.25">
      <c r="A41" s="10" t="s">
        <v>103</v>
      </c>
      <c r="B41" s="10"/>
      <c r="C41" s="10"/>
      <c r="D41" s="10" t="s">
        <v>180</v>
      </c>
      <c r="E41" s="11" t="s">
        <v>181</v>
      </c>
    </row>
    <row r="42" spans="1:5" x14ac:dyDescent="0.25">
      <c r="A42" s="10" t="s">
        <v>104</v>
      </c>
      <c r="B42" s="10" t="s">
        <v>42</v>
      </c>
      <c r="C42" s="10" t="s">
        <v>98</v>
      </c>
      <c r="D42" s="10" t="s">
        <v>182</v>
      </c>
      <c r="E42" s="11" t="s">
        <v>183</v>
      </c>
    </row>
    <row r="43" spans="1:5" x14ac:dyDescent="0.25">
      <c r="A43" s="10" t="s">
        <v>104</v>
      </c>
      <c r="B43" s="10" t="s">
        <v>105</v>
      </c>
      <c r="C43" s="10" t="s">
        <v>106</v>
      </c>
      <c r="D43" s="10" t="s">
        <v>184</v>
      </c>
      <c r="E43" s="11" t="s">
        <v>183</v>
      </c>
    </row>
    <row r="44" spans="1:5" x14ac:dyDescent="0.25">
      <c r="A44" s="10" t="s">
        <v>107</v>
      </c>
      <c r="B44" s="10" t="s">
        <v>42</v>
      </c>
      <c r="C44" s="10" t="s">
        <v>108</v>
      </c>
      <c r="D44" s="10" t="s">
        <v>185</v>
      </c>
      <c r="E44" s="11" t="s">
        <v>145</v>
      </c>
    </row>
    <row r="45" spans="1:5" x14ac:dyDescent="0.25">
      <c r="A45" s="10" t="s">
        <v>107</v>
      </c>
      <c r="B45" s="10" t="s">
        <v>42</v>
      </c>
      <c r="C45" s="10" t="s">
        <v>108</v>
      </c>
      <c r="D45" s="10" t="s">
        <v>185</v>
      </c>
      <c r="E45" s="11" t="s">
        <v>145</v>
      </c>
    </row>
    <row r="46" spans="1:5" x14ac:dyDescent="0.25">
      <c r="A46" s="10" t="s">
        <v>109</v>
      </c>
      <c r="B46" s="10" t="s">
        <v>27</v>
      </c>
      <c r="C46" s="10" t="s">
        <v>110</v>
      </c>
      <c r="D46" s="10" t="s">
        <v>186</v>
      </c>
      <c r="E46" s="11" t="s">
        <v>187</v>
      </c>
    </row>
    <row r="47" spans="1:5" x14ac:dyDescent="0.25">
      <c r="A47" s="10" t="s">
        <v>109</v>
      </c>
      <c r="B47" s="10" t="s">
        <v>20</v>
      </c>
      <c r="C47" s="10" t="s">
        <v>58</v>
      </c>
      <c r="D47" s="10" t="s">
        <v>188</v>
      </c>
      <c r="E47" s="11" t="s">
        <v>187</v>
      </c>
    </row>
    <row r="48" spans="1:5" x14ac:dyDescent="0.25">
      <c r="A48" s="10" t="s">
        <v>189</v>
      </c>
      <c r="B48" s="10" t="s">
        <v>46</v>
      </c>
      <c r="C48" s="10" t="s">
        <v>190</v>
      </c>
      <c r="D48" s="10" t="s">
        <v>191</v>
      </c>
      <c r="E48" s="11" t="s">
        <v>192</v>
      </c>
    </row>
    <row r="49" spans="1:5" x14ac:dyDescent="0.25">
      <c r="A49" s="10" t="s">
        <v>111</v>
      </c>
      <c r="B49" s="10" t="s">
        <v>20</v>
      </c>
      <c r="C49" s="10" t="s">
        <v>58</v>
      </c>
      <c r="D49" s="10" t="s">
        <v>193</v>
      </c>
      <c r="E49" s="11" t="s">
        <v>194</v>
      </c>
    </row>
    <row r="50" spans="1:5" x14ac:dyDescent="0.25">
      <c r="A50" s="10" t="s">
        <v>195</v>
      </c>
      <c r="B50" s="10" t="s">
        <v>20</v>
      </c>
      <c r="C50" s="10" t="s">
        <v>58</v>
      </c>
      <c r="D50" s="10" t="s">
        <v>196</v>
      </c>
      <c r="E50" s="11" t="s">
        <v>197</v>
      </c>
    </row>
    <row r="51" spans="1:5" x14ac:dyDescent="0.25">
      <c r="A51" s="10" t="s">
        <v>112</v>
      </c>
      <c r="B51" s="10" t="s">
        <v>20</v>
      </c>
      <c r="C51" s="10" t="s">
        <v>33</v>
      </c>
      <c r="D51" s="10" t="s">
        <v>198</v>
      </c>
      <c r="E51" s="11" t="s">
        <v>199</v>
      </c>
    </row>
    <row r="52" spans="1:5" x14ac:dyDescent="0.25">
      <c r="A52" s="10" t="s">
        <v>113</v>
      </c>
      <c r="B52" s="10" t="s">
        <v>39</v>
      </c>
      <c r="C52" s="10" t="s">
        <v>114</v>
      </c>
      <c r="D52" s="10" t="s">
        <v>200</v>
      </c>
      <c r="E52" s="11" t="s">
        <v>145</v>
      </c>
    </row>
    <row r="53" spans="1:5" x14ac:dyDescent="0.25">
      <c r="A53" s="10" t="s">
        <v>115</v>
      </c>
      <c r="B53" s="10" t="s">
        <v>20</v>
      </c>
      <c r="C53" s="10" t="s">
        <v>116</v>
      </c>
      <c r="D53" s="10" t="s">
        <v>201</v>
      </c>
      <c r="E53" s="11" t="s">
        <v>202</v>
      </c>
    </row>
    <row r="54" spans="1:5" x14ac:dyDescent="0.25">
      <c r="A54" s="10" t="s">
        <v>117</v>
      </c>
      <c r="B54" s="10" t="s">
        <v>20</v>
      </c>
      <c r="C54" s="10" t="s">
        <v>58</v>
      </c>
      <c r="D54" s="10" t="s">
        <v>203</v>
      </c>
      <c r="E54" s="11" t="s">
        <v>204</v>
      </c>
    </row>
    <row r="55" spans="1:5" x14ac:dyDescent="0.25">
      <c r="A55" s="10" t="s">
        <v>118</v>
      </c>
      <c r="B55" s="10" t="s">
        <v>20</v>
      </c>
      <c r="C55" s="10" t="s">
        <v>58</v>
      </c>
      <c r="D55" s="10"/>
    </row>
    <row r="56" spans="1:5" x14ac:dyDescent="0.25">
      <c r="A56" s="10" t="s">
        <v>119</v>
      </c>
      <c r="B56" s="10" t="s">
        <v>53</v>
      </c>
      <c r="C56" s="10" t="s">
        <v>53</v>
      </c>
      <c r="D56" s="10" t="s">
        <v>205</v>
      </c>
      <c r="E56" s="11" t="s">
        <v>145</v>
      </c>
    </row>
    <row r="57" spans="1:5" x14ac:dyDescent="0.25">
      <c r="A57" s="10" t="s">
        <v>120</v>
      </c>
      <c r="B57" s="10" t="s">
        <v>42</v>
      </c>
      <c r="C57" s="10" t="s">
        <v>121</v>
      </c>
      <c r="D57" s="10" t="s">
        <v>206</v>
      </c>
      <c r="E57" s="11" t="s">
        <v>207</v>
      </c>
    </row>
    <row r="58" spans="1:5" x14ac:dyDescent="0.25">
      <c r="A58" s="10" t="s">
        <v>123</v>
      </c>
      <c r="B58" s="10" t="s">
        <v>55</v>
      </c>
      <c r="C58" s="10" t="s">
        <v>31</v>
      </c>
      <c r="D58" s="10" t="s">
        <v>208</v>
      </c>
      <c r="E58" s="11" t="s">
        <v>209</v>
      </c>
    </row>
    <row r="59" spans="1:5" x14ac:dyDescent="0.25">
      <c r="A59" s="10" t="s">
        <v>124</v>
      </c>
      <c r="B59" s="10" t="s">
        <v>55</v>
      </c>
      <c r="C59" s="10" t="s">
        <v>56</v>
      </c>
      <c r="D59" s="10"/>
    </row>
    <row r="60" spans="1:5" x14ac:dyDescent="0.25">
      <c r="A60" s="10" t="s">
        <v>125</v>
      </c>
      <c r="B60" s="10" t="s">
        <v>20</v>
      </c>
      <c r="C60" s="10" t="s">
        <v>126</v>
      </c>
      <c r="D60" s="10" t="s">
        <v>210</v>
      </c>
      <c r="E60" s="11" t="s">
        <v>145</v>
      </c>
    </row>
    <row r="61" spans="1:5" x14ac:dyDescent="0.25">
      <c r="A61" s="10" t="s">
        <v>127</v>
      </c>
      <c r="B61" s="10" t="s">
        <v>20</v>
      </c>
      <c r="C61" s="10" t="s">
        <v>128</v>
      </c>
      <c r="D61" s="10"/>
    </row>
    <row r="62" spans="1:5" x14ac:dyDescent="0.25">
      <c r="A62" s="10" t="s">
        <v>129</v>
      </c>
      <c r="B62" s="10" t="s">
        <v>20</v>
      </c>
      <c r="C62" s="10" t="s">
        <v>21</v>
      </c>
      <c r="D62" s="10"/>
    </row>
    <row r="63" spans="1:5" x14ac:dyDescent="0.25">
      <c r="A63" s="10" t="s">
        <v>130</v>
      </c>
      <c r="B63" s="10" t="s">
        <v>20</v>
      </c>
      <c r="C63" s="10" t="s">
        <v>131</v>
      </c>
      <c r="D63" s="10" t="s">
        <v>211</v>
      </c>
      <c r="E63" s="11" t="s">
        <v>212</v>
      </c>
    </row>
    <row r="64" spans="1:5" x14ac:dyDescent="0.25">
      <c r="A64" s="10" t="s">
        <v>132</v>
      </c>
      <c r="B64" s="10" t="s">
        <v>20</v>
      </c>
      <c r="C64" s="10" t="s">
        <v>133</v>
      </c>
      <c r="D64" s="10" t="s">
        <v>213</v>
      </c>
      <c r="E64" s="11" t="s">
        <v>214</v>
      </c>
    </row>
    <row r="65" spans="1:5" x14ac:dyDescent="0.25">
      <c r="A65" s="10" t="s">
        <v>44</v>
      </c>
      <c r="B65" s="10"/>
      <c r="C65" s="10"/>
      <c r="D65" s="10"/>
    </row>
    <row r="66" spans="1:5" x14ac:dyDescent="0.25">
      <c r="A66" s="10" t="s">
        <v>91</v>
      </c>
      <c r="B66" s="10" t="s">
        <v>20</v>
      </c>
      <c r="C66" s="10" t="s">
        <v>92</v>
      </c>
      <c r="D66" s="10" t="s">
        <v>215</v>
      </c>
      <c r="E66" s="11" t="s">
        <v>145</v>
      </c>
    </row>
    <row r="67" spans="1:5" x14ac:dyDescent="0.25">
      <c r="A67" s="10" t="s">
        <v>59</v>
      </c>
      <c r="B67" s="10" t="s">
        <v>20</v>
      </c>
      <c r="C67" s="10" t="s">
        <v>58</v>
      </c>
      <c r="D67" s="10"/>
    </row>
    <row r="68" spans="1:5" x14ac:dyDescent="0.25">
      <c r="A68" s="10" t="s">
        <v>96</v>
      </c>
      <c r="B68" s="10" t="s">
        <v>20</v>
      </c>
      <c r="C68" s="10" t="s">
        <v>58</v>
      </c>
      <c r="D68" s="10"/>
    </row>
    <row r="69" spans="1:5" x14ac:dyDescent="0.25">
      <c r="A69" s="10" t="s">
        <v>90</v>
      </c>
      <c r="B69" s="10" t="s">
        <v>20</v>
      </c>
      <c r="C69" s="10" t="s">
        <v>58</v>
      </c>
      <c r="D69" s="10"/>
    </row>
    <row r="70" spans="1:5" x14ac:dyDescent="0.25">
      <c r="A70" s="10" t="s">
        <v>216</v>
      </c>
      <c r="B70" s="10" t="s">
        <v>20</v>
      </c>
      <c r="C70" s="10" t="s">
        <v>58</v>
      </c>
      <c r="D70" s="10" t="s">
        <v>217</v>
      </c>
      <c r="E70" s="11" t="s">
        <v>218</v>
      </c>
    </row>
    <row r="71" spans="1:5" x14ac:dyDescent="0.25">
      <c r="A71" s="10" t="s">
        <v>95</v>
      </c>
      <c r="B71" s="10" t="s">
        <v>20</v>
      </c>
      <c r="C71" s="10" t="s">
        <v>58</v>
      </c>
      <c r="D71" s="10" t="s">
        <v>219</v>
      </c>
      <c r="E71" s="11" t="s">
        <v>220</v>
      </c>
    </row>
    <row r="72" spans="1:5" x14ac:dyDescent="0.25">
      <c r="A72" s="10" t="s">
        <v>63</v>
      </c>
      <c r="B72" s="10"/>
      <c r="C72" s="10"/>
      <c r="D72" s="10" t="s">
        <v>221</v>
      </c>
    </row>
    <row r="73" spans="1:5" x14ac:dyDescent="0.25">
      <c r="A73" s="10" t="s">
        <v>122</v>
      </c>
      <c r="B73" s="10" t="s">
        <v>20</v>
      </c>
      <c r="C73" s="10" t="s">
        <v>58</v>
      </c>
      <c r="D73" s="10"/>
    </row>
    <row r="74" spans="1:5" x14ac:dyDescent="0.25">
      <c r="A74" s="10" t="s">
        <v>47</v>
      </c>
      <c r="B74" s="10" t="s">
        <v>49</v>
      </c>
      <c r="C74" s="10" t="s">
        <v>48</v>
      </c>
      <c r="D74" s="10" t="s">
        <v>222</v>
      </c>
      <c r="E74" s="11" t="s">
        <v>223</v>
      </c>
    </row>
    <row r="75" spans="1:5" x14ac:dyDescent="0.25">
      <c r="A75" s="10" t="s">
        <v>134</v>
      </c>
      <c r="B75" s="10" t="s">
        <v>126</v>
      </c>
      <c r="C75" s="10" t="s">
        <v>89</v>
      </c>
      <c r="D75" s="10"/>
    </row>
    <row r="77" spans="1:5" x14ac:dyDescent="0.25">
      <c r="A77" s="4"/>
      <c r="B77"/>
      <c r="C77"/>
    </row>
    <row r="78" spans="1:5" x14ac:dyDescent="0.25">
      <c r="A78"/>
      <c r="B78"/>
      <c r="C78"/>
    </row>
    <row r="79" spans="1:5" x14ac:dyDescent="0.25">
      <c r="A79" s="4"/>
      <c r="B79"/>
      <c r="C79"/>
    </row>
    <row r="80" spans="1:5" x14ac:dyDescent="0.25">
      <c r="A80" s="5"/>
      <c r="B80"/>
      <c r="C80"/>
    </row>
    <row r="81" spans="1:3" x14ac:dyDescent="0.25">
      <c r="A81" s="5"/>
      <c r="B81"/>
      <c r="C81"/>
    </row>
    <row r="82" spans="1:3" x14ac:dyDescent="0.25">
      <c r="A82" s="5"/>
      <c r="B82"/>
      <c r="C82"/>
    </row>
    <row r="83" spans="1:3" x14ac:dyDescent="0.25">
      <c r="A83" s="5"/>
      <c r="B83"/>
      <c r="C83"/>
    </row>
    <row r="84" spans="1:3" x14ac:dyDescent="0.25">
      <c r="A84"/>
      <c r="B84"/>
      <c r="C84"/>
    </row>
    <row r="85" spans="1:3" x14ac:dyDescent="0.25">
      <c r="A85"/>
      <c r="B85"/>
      <c r="C85"/>
    </row>
    <row r="86" spans="1:3" x14ac:dyDescent="0.25">
      <c r="A86"/>
      <c r="B86"/>
      <c r="C86"/>
    </row>
    <row r="87" spans="1:3" x14ac:dyDescent="0.25">
      <c r="A87"/>
      <c r="B87"/>
      <c r="C87"/>
    </row>
    <row r="88" spans="1:3" x14ac:dyDescent="0.25">
      <c r="A88"/>
      <c r="B88"/>
      <c r="C88"/>
    </row>
    <row r="89" spans="1:3" x14ac:dyDescent="0.25">
      <c r="A89"/>
      <c r="B89"/>
      <c r="C89"/>
    </row>
    <row r="90" spans="1:3" x14ac:dyDescent="0.25">
      <c r="A90"/>
      <c r="B90"/>
      <c r="C90"/>
    </row>
    <row r="91" spans="1:3" x14ac:dyDescent="0.25">
      <c r="A91"/>
      <c r="B91"/>
      <c r="C91"/>
    </row>
    <row r="92" spans="1:3" x14ac:dyDescent="0.25">
      <c r="A92"/>
      <c r="B92"/>
      <c r="C92"/>
    </row>
    <row r="93" spans="1:3" x14ac:dyDescent="0.25">
      <c r="A93"/>
      <c r="B93"/>
      <c r="C93"/>
    </row>
    <row r="94" spans="1:3" x14ac:dyDescent="0.25">
      <c r="A94"/>
      <c r="B94"/>
      <c r="C94"/>
    </row>
    <row r="95" spans="1:3" x14ac:dyDescent="0.25">
      <c r="A95"/>
      <c r="B95"/>
      <c r="C95"/>
    </row>
    <row r="96" spans="1:3" x14ac:dyDescent="0.25">
      <c r="A96"/>
      <c r="B96"/>
      <c r="C96"/>
    </row>
    <row r="97" spans="1:3" x14ac:dyDescent="0.25">
      <c r="A97"/>
      <c r="B97"/>
      <c r="C97"/>
    </row>
    <row r="98" spans="1:3" x14ac:dyDescent="0.25">
      <c r="A98" s="4"/>
      <c r="B98"/>
      <c r="C98"/>
    </row>
    <row r="99" spans="1:3" x14ac:dyDescent="0.25">
      <c r="A99" s="3"/>
      <c r="B99"/>
      <c r="C99"/>
    </row>
    <row r="100" spans="1:3" x14ac:dyDescent="0.25">
      <c r="A100" s="3"/>
      <c r="B100"/>
      <c r="C100"/>
    </row>
    <row r="101" spans="1:3" x14ac:dyDescent="0.25">
      <c r="A101" s="3"/>
      <c r="B101"/>
      <c r="C101"/>
    </row>
    <row r="102" spans="1:3" x14ac:dyDescent="0.25">
      <c r="A102" s="3"/>
      <c r="B102"/>
      <c r="C102"/>
    </row>
    <row r="103" spans="1:3" x14ac:dyDescent="0.25">
      <c r="A103" s="3"/>
      <c r="B103"/>
      <c r="C103"/>
    </row>
    <row r="104" spans="1:3" x14ac:dyDescent="0.25">
      <c r="A104"/>
      <c r="B104"/>
      <c r="C104"/>
    </row>
    <row r="105" spans="1:3" ht="409.5" x14ac:dyDescent="0.25">
      <c r="A105" s="6" t="s">
        <v>224</v>
      </c>
      <c r="B105"/>
      <c r="C105"/>
    </row>
  </sheetData>
  <mergeCells count="1">
    <mergeCell ref="G1:G7"/>
  </mergeCells>
  <pageMargins left="0.7" right="0.7" top="0.75" bottom="0.75" header="0.3" footer="0.3"/>
  <pageSetup paperSize="9" orientation="portrait" r:id="rId1"/>
  <headerFooter>
    <oddHeader>&amp;L&amp;"calibri,Bold"&amp;10&amp;K3399FFGİZLİ (Nitelikli Kişisel Veri İçerir)</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85D24-7C23-4276-B1F6-6C60F187D279}">
  <dimension ref="A1:H2"/>
  <sheetViews>
    <sheetView topLeftCell="A13" workbookViewId="0">
      <selection activeCell="D8" sqref="D8"/>
    </sheetView>
  </sheetViews>
  <sheetFormatPr defaultRowHeight="15" x14ac:dyDescent="0.25"/>
  <sheetData>
    <row r="1" spans="1:8" x14ac:dyDescent="0.25">
      <c r="A1" s="1" t="s">
        <v>102</v>
      </c>
      <c r="B1" s="24" t="s">
        <v>225</v>
      </c>
      <c r="C1" s="24"/>
      <c r="D1" s="24"/>
      <c r="E1" s="24"/>
      <c r="F1" s="24"/>
      <c r="G1" s="24"/>
      <c r="H1" s="24"/>
    </row>
    <row r="2" spans="1:8" x14ac:dyDescent="0.25">
      <c r="A2" s="1"/>
      <c r="B2" s="24"/>
      <c r="C2" s="24"/>
      <c r="D2" s="24"/>
      <c r="E2" s="24"/>
      <c r="F2" s="24"/>
      <c r="G2" s="24"/>
      <c r="H2" s="24"/>
    </row>
  </sheetData>
  <mergeCells count="1">
    <mergeCell ref="B1:H2"/>
  </mergeCells>
  <pageMargins left="0.7" right="0.7" top="0.75" bottom="0.75" header="0.3" footer="0.3"/>
  <pageSetup paperSize="9" orientation="portrait" r:id="rId1"/>
  <headerFooter>
    <oddHeader>&amp;L&amp;"calibri,Bold"&amp;10&amp;K3399FFGİZLİ (Nitelikli Kişisel Veri İçerir)</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9d970386-be87-49ca-b731-17531986a54a</TitusGUID>
  <TitusMetadata xmlns="">eyJucyI6Imh0dHBzOlwvXC93d3cudGVwZXNlcnZpcy5jb20udHIiLCJwcm9wcyI6W3sibiI6IlRFUEVDTEFTU0lGSUNBVElPTiIsInZhbHMiOlt7InZhbHVlIjoiR0k1eFJRb1VrcDlGIn1dfSx7Im4iOiJURVBFQ09ORklERU5USUFMIiwidmFscyI6W119LHsibiI6IlRFUEVQZXJzb25hbERhdGEiLCJ2YWxzIjpbeyJ2YWx1ZSI6IksyenNvV2dRNWJubSJ9XX1dfQ==</TitusMetadata>
</titus>
</file>

<file path=customXml/itemProps1.xml><?xml version="1.0" encoding="utf-8"?>
<ds:datastoreItem xmlns:ds="http://schemas.openxmlformats.org/officeDocument/2006/customXml" ds:itemID="{15F3B34A-0BAE-47A5-9F30-1D5BD0045270}">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Temizlik</vt:lpstr>
      <vt:lpstr>Güvenlik</vt:lpstr>
      <vt:lpstr>Kod ve Ücretleri</vt:lpstr>
      <vt:lpstr>Pozisyon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Ogulcan Eyigun (Tepe Destek)</dc:creator>
  <cp:keywords>GI5xRQoUkp9F | K2zsoWgQ5bnm</cp:keywords>
  <dc:description/>
  <cp:lastModifiedBy>Kaan Bostan (Tepe Guvenlik)</cp:lastModifiedBy>
  <cp:revision/>
  <dcterms:created xsi:type="dcterms:W3CDTF">2015-06-05T18:17:20Z</dcterms:created>
  <dcterms:modified xsi:type="dcterms:W3CDTF">2026-10-06T11:05:50Z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9d970386-be87-49ca-b731-17531986a54a</vt:lpwstr>
  </property>
  <property fmtid="{D5CDD505-2E9C-101B-9397-08002B2CF9AE}" pid="3" name="TEPECLASSIFICATION">
    <vt:lpwstr>GI5xRQoUkp9F</vt:lpwstr>
  </property>
  <property fmtid="{D5CDD505-2E9C-101B-9397-08002B2CF9AE}" pid="4" name="Modified Department">
    <vt:lpwstr/>
  </property>
  <property fmtid="{D5CDD505-2E9C-101B-9397-08002B2CF9AE}" pid="5" name="TEPEPersonalData">
    <vt:lpwstr>K2zsoWgQ5bnm</vt:lpwstr>
  </property>
</Properties>
</file>